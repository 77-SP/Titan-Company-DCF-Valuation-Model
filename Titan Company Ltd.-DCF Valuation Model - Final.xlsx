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9f7bb8d7d23465/Desktop/"/>
    </mc:Choice>
  </mc:AlternateContent>
  <xr:revisionPtr revIDLastSave="23" documentId="8_{41E358B8-7BAD-4509-84CF-EED736390733}" xr6:coauthVersionLast="47" xr6:coauthVersionMax="47" xr10:uidLastSave="{897936C1-1165-49B1-BC0D-DEF071A1C3B4}"/>
  <bookViews>
    <workbookView xWindow="-108" yWindow="-108" windowWidth="23256" windowHeight="12456" firstSheet="2" activeTab="9" xr2:uid="{00000000-000D-0000-FFFF-FFFF00000000}"/>
  </bookViews>
  <sheets>
    <sheet name="Cover" sheetId="1" r:id="rId1"/>
    <sheet name="Assumptions" sheetId="2" r:id="rId2"/>
    <sheet name="Historical Financials" sheetId="3" r:id="rId3"/>
    <sheet name="Forecasts" sheetId="4" r:id="rId4"/>
    <sheet name="FCFF" sheetId="5" r:id="rId5"/>
    <sheet name="WACC" sheetId="6" r:id="rId6"/>
    <sheet name="Valuation" sheetId="7" r:id="rId7"/>
    <sheet name=" Sensitivity Analysis" sheetId="8" r:id="rId8"/>
    <sheet name="Dashboard " sheetId="9" r:id="rId9"/>
    <sheet name="Control Panel" sheetId="10" r:id="rId10"/>
  </sheets>
  <calcPr calcId="191029"/>
</workbook>
</file>

<file path=xl/calcChain.xml><?xml version="1.0" encoding="utf-8"?>
<calcChain xmlns="http://schemas.openxmlformats.org/spreadsheetml/2006/main">
  <c r="F31" i="4" l="1"/>
  <c r="E31" i="4"/>
  <c r="D31" i="4"/>
  <c r="C31" i="4"/>
  <c r="B31" i="4"/>
  <c r="F27" i="4"/>
  <c r="E27" i="4"/>
  <c r="D27" i="4"/>
  <c r="C27" i="4"/>
  <c r="B27" i="4"/>
  <c r="F15" i="4"/>
  <c r="E15" i="4"/>
  <c r="D15" i="4"/>
  <c r="C15" i="4"/>
  <c r="C17" i="4" s="1"/>
  <c r="C21" i="4" s="1"/>
  <c r="B15" i="4"/>
  <c r="B17" i="4" s="1"/>
  <c r="B21" i="4" s="1"/>
  <c r="B9" i="7"/>
  <c r="C14" i="9" s="1"/>
  <c r="B7" i="7"/>
  <c r="C13" i="9" s="1"/>
  <c r="C7" i="4"/>
  <c r="B7" i="4"/>
  <c r="F19" i="4"/>
  <c r="E19" i="4"/>
  <c r="D19" i="4"/>
  <c r="C19" i="4"/>
  <c r="B19" i="4"/>
  <c r="F11" i="4"/>
  <c r="E11" i="4"/>
  <c r="D11" i="4"/>
  <c r="C11" i="4"/>
  <c r="B11" i="4"/>
  <c r="B5" i="4"/>
  <c r="F7" i="4"/>
  <c r="E7" i="4"/>
  <c r="D7" i="4"/>
  <c r="B8" i="10"/>
  <c r="B7" i="10"/>
  <c r="J13" i="9"/>
  <c r="F9" i="4"/>
  <c r="E9" i="4"/>
  <c r="D9" i="4"/>
  <c r="C9" i="4"/>
  <c r="B9" i="4"/>
  <c r="C5" i="4"/>
  <c r="C21" i="6"/>
  <c r="C25" i="6" s="1"/>
  <c r="B13" i="7"/>
  <c r="C31" i="6"/>
  <c r="C27" i="6"/>
  <c r="F17" i="3"/>
  <c r="E17" i="3"/>
  <c r="D17" i="3"/>
  <c r="C17" i="3"/>
  <c r="F29" i="4"/>
  <c r="E29" i="4"/>
  <c r="D29" i="4"/>
  <c r="C29" i="4"/>
  <c r="B29" i="4"/>
  <c r="F25" i="4"/>
  <c r="E25" i="4"/>
  <c r="D25" i="4"/>
  <c r="C25" i="4"/>
  <c r="B25" i="4"/>
  <c r="F13" i="4"/>
  <c r="E13" i="4"/>
  <c r="D13" i="4"/>
  <c r="C13" i="4"/>
  <c r="B13" i="4"/>
  <c r="B11" i="8" l="1"/>
  <c r="B10" i="8"/>
  <c r="B5" i="5"/>
  <c r="B33" i="4"/>
  <c r="B17" i="5" s="1"/>
  <c r="C23" i="6"/>
  <c r="F23" i="6" s="1"/>
  <c r="B13" i="5"/>
  <c r="B15" i="5"/>
  <c r="C5" i="5" l="1"/>
  <c r="D20" i="7"/>
  <c r="C20" i="7"/>
  <c r="F20" i="7"/>
  <c r="B20" i="7"/>
  <c r="E20" i="7"/>
  <c r="C15" i="5"/>
  <c r="D5" i="4"/>
  <c r="C33" i="4"/>
  <c r="C17" i="5" s="1"/>
  <c r="B7" i="5" l="1"/>
  <c r="B9" i="5" s="1"/>
  <c r="B11" i="5" s="1"/>
  <c r="B19" i="5" s="1"/>
  <c r="B19" i="7" s="1"/>
  <c r="B23" i="4"/>
  <c r="D5" i="5"/>
  <c r="C13" i="5"/>
  <c r="D15" i="5"/>
  <c r="E5" i="4"/>
  <c r="D13" i="5"/>
  <c r="D33" i="4"/>
  <c r="D17" i="5" s="1"/>
  <c r="B21" i="7" l="1"/>
  <c r="F14" i="9"/>
  <c r="C7" i="5"/>
  <c r="C9" i="5" s="1"/>
  <c r="C11" i="5" s="1"/>
  <c r="C19" i="5" s="1"/>
  <c r="C19" i="7" s="1"/>
  <c r="C23" i="4"/>
  <c r="E5" i="5"/>
  <c r="D17" i="4"/>
  <c r="D21" i="4" s="1"/>
  <c r="E13" i="5"/>
  <c r="E33" i="4"/>
  <c r="E17" i="5" s="1"/>
  <c r="E15" i="5"/>
  <c r="F5" i="4"/>
  <c r="C21" i="7" l="1"/>
  <c r="F15" i="9"/>
  <c r="F5" i="5"/>
  <c r="D23" i="4"/>
  <c r="D7" i="5"/>
  <c r="E17" i="4"/>
  <c r="E21" i="4" s="1"/>
  <c r="F33" i="4"/>
  <c r="F17" i="5" s="1"/>
  <c r="F15" i="5"/>
  <c r="F13" i="5"/>
  <c r="D9" i="5" l="1"/>
  <c r="D11" i="5" s="1"/>
  <c r="D19" i="5" s="1"/>
  <c r="D19" i="7" s="1"/>
  <c r="E23" i="4"/>
  <c r="E7" i="5"/>
  <c r="F17" i="4"/>
  <c r="D21" i="7" l="1"/>
  <c r="F16" i="9"/>
  <c r="E9" i="5"/>
  <c r="E11" i="5" s="1"/>
  <c r="E19" i="5" s="1"/>
  <c r="E19" i="7" s="1"/>
  <c r="F17" i="9" s="1"/>
  <c r="F7" i="5"/>
  <c r="F9" i="5" s="1"/>
  <c r="F11" i="5" s="1"/>
  <c r="F19" i="5" s="1"/>
  <c r="F19" i="7" s="1"/>
  <c r="F21" i="4"/>
  <c r="F23" i="4" s="1"/>
  <c r="E21" i="7" l="1"/>
  <c r="F18" i="9"/>
  <c r="I12" i="7"/>
  <c r="I18" i="7" s="1"/>
  <c r="F21" i="7"/>
  <c r="I6" i="7" l="1"/>
  <c r="I24" i="7" s="1"/>
  <c r="I28" i="7" l="1"/>
  <c r="I31" i="7" s="1"/>
  <c r="B12" i="8" s="1"/>
  <c r="A17" i="8" s="1"/>
  <c r="C15" i="9"/>
  <c r="C16" i="9" l="1"/>
  <c r="D7" i="9"/>
  <c r="C17" i="9"/>
  <c r="G7" i="9" l="1"/>
  <c r="J7" i="9" s="1"/>
  <c r="J14" i="9"/>
</calcChain>
</file>

<file path=xl/sharedStrings.xml><?xml version="1.0" encoding="utf-8"?>
<sst xmlns="http://schemas.openxmlformats.org/spreadsheetml/2006/main" count="230" uniqueCount="183">
  <si>
    <t>Title :</t>
  </si>
  <si>
    <t>Titan Company Ltd. - DCF Valuation Model</t>
  </si>
  <si>
    <t>Samya  Patel</t>
  </si>
  <si>
    <t>Estimate  Titan's  Intrinsic  value  using  the  Discounted  Cash Flow (DCF)  method</t>
  </si>
  <si>
    <t xml:space="preserve">Assumptions  Sheet </t>
  </si>
  <si>
    <t>Assumption</t>
  </si>
  <si>
    <t>Value</t>
  </si>
  <si>
    <t>EBITDA  Margin</t>
  </si>
  <si>
    <t>Tax Rate</t>
  </si>
  <si>
    <t>Depriciation % Revenue</t>
  </si>
  <si>
    <t>CapEx % Revenue</t>
  </si>
  <si>
    <t>Working Capital % Revenue</t>
  </si>
  <si>
    <t>WACC</t>
  </si>
  <si>
    <t xml:space="preserve">Historical  Financials </t>
  </si>
  <si>
    <t>Particulars</t>
  </si>
  <si>
    <t>FY23</t>
  </si>
  <si>
    <t>FY24</t>
  </si>
  <si>
    <t>FY25</t>
  </si>
  <si>
    <t>FY26</t>
  </si>
  <si>
    <t>FY22</t>
  </si>
  <si>
    <t>Revenue</t>
  </si>
  <si>
    <t>EBITDA</t>
  </si>
  <si>
    <t>EBIT</t>
  </si>
  <si>
    <t>Tax Expense</t>
  </si>
  <si>
    <t>Depriciation</t>
  </si>
  <si>
    <t>CapEx</t>
  </si>
  <si>
    <t>(Crore Rupees)</t>
  </si>
  <si>
    <t>(approx)</t>
  </si>
  <si>
    <t>Forecasts</t>
  </si>
  <si>
    <t xml:space="preserve">Year	</t>
  </si>
  <si>
    <t>Revenue (₹ Cr)</t>
  </si>
  <si>
    <t>Revenue Growth %</t>
  </si>
  <si>
    <t>EBITDA (₹ Cr)</t>
  </si>
  <si>
    <t>Working Capital %</t>
  </si>
  <si>
    <t>FCFF</t>
  </si>
  <si>
    <t>NOPAT</t>
  </si>
  <si>
    <t>(+) D&amp;A</t>
  </si>
  <si>
    <t>(-) Cap Ex.</t>
  </si>
  <si>
    <t>(-) Δ Working Capital</t>
  </si>
  <si>
    <t>FY27</t>
  </si>
  <si>
    <t>FY28</t>
  </si>
  <si>
    <t>FY29</t>
  </si>
  <si>
    <t>FY30</t>
  </si>
  <si>
    <t>EBITDA Margin %</t>
  </si>
  <si>
    <t xml:space="preserve">Tax Expense </t>
  </si>
  <si>
    <t>Net Working  Capital</t>
  </si>
  <si>
    <t>Change in Net Working Capital</t>
  </si>
  <si>
    <t xml:space="preserve">Revenue Growth </t>
  </si>
  <si>
    <t>Deprication %</t>
  </si>
  <si>
    <t>CapEx %</t>
  </si>
  <si>
    <t>Tax  Rate</t>
  </si>
  <si>
    <t>Terminal Growth Rate</t>
  </si>
  <si>
    <t>Working Capital</t>
  </si>
  <si>
    <t>Tax</t>
  </si>
  <si>
    <t>FCFF  =</t>
  </si>
  <si>
    <t>NOPAT + Depriciation - CapEx. - Δ Working Capital</t>
  </si>
  <si>
    <t>FCFF is the "Cash flow available to all capital providers after reinvestment in operations.”</t>
  </si>
  <si>
    <t>Risk-Free Rate (Rf)</t>
  </si>
  <si>
    <t>Market Risk Premium (MRP)</t>
  </si>
  <si>
    <t>Market Value of Equity (E)</t>
  </si>
  <si>
    <t>Market Value of Debt (D)</t>
  </si>
  <si>
    <t xml:space="preserve">Item </t>
  </si>
  <si>
    <t>Input Section</t>
  </si>
  <si>
    <t>Calculations</t>
  </si>
  <si>
    <t>Total Value (E + D)</t>
  </si>
  <si>
    <t>Equity Weight (E/V)</t>
  </si>
  <si>
    <t>Debt Weight (D/V)</t>
  </si>
  <si>
    <r>
      <t>Beta</t>
    </r>
    <r>
      <rPr>
        <b/>
        <sz val="11"/>
        <color theme="1"/>
        <rFont val="Arial Rounded MT Bold"/>
        <family val="2"/>
      </rPr>
      <t xml:space="preserve"> (β)</t>
    </r>
  </si>
  <si>
    <t>Cost of Debt = Interest / Debt</t>
  </si>
  <si>
    <t>After - Tax  Cost of Debt = Rd * (1-Tax)</t>
  </si>
  <si>
    <t>Final Output</t>
  </si>
  <si>
    <t>WACC = (E/V × Re) + (D/V × Rd × (1-T))</t>
  </si>
  <si>
    <t>Value (In Crores ₹)</t>
  </si>
  <si>
    <t>Cost of Equity = Rf + β × MRP (Re)</t>
  </si>
  <si>
    <t>Final WACC: 10.8%</t>
  </si>
  <si>
    <t>Interpretation:</t>
  </si>
  <si>
    <t>Titan must generate returns above 10.8% to create value for its investors.</t>
  </si>
  <si>
    <t>This WACC is used to discount projected FCFF and estimate Enterprise Value in the DCF valuation.</t>
  </si>
  <si>
    <t>Valuation</t>
  </si>
  <si>
    <t>Item</t>
  </si>
  <si>
    <t>Source</t>
  </si>
  <si>
    <t>Terminal Growth Rate (g)</t>
  </si>
  <si>
    <t>Cash &amp; Cash Equivalents</t>
  </si>
  <si>
    <t>Total Debt</t>
  </si>
  <si>
    <t>Shares Outstanding</t>
  </si>
  <si>
    <t>FCFF Valuation</t>
  </si>
  <si>
    <t>Discount Factor</t>
  </si>
  <si>
    <t>PV of FCFF</t>
  </si>
  <si>
    <r>
      <rPr>
        <b/>
        <sz val="11"/>
        <color theme="1"/>
        <rFont val="Calibri"/>
        <family val="2"/>
        <scheme val="minor"/>
      </rPr>
      <t>(In Crores</t>
    </r>
    <r>
      <rPr>
        <sz val="11"/>
        <color theme="1"/>
        <rFont val="Calibri"/>
        <family val="2"/>
        <scheme val="minor"/>
      </rPr>
      <t>)</t>
    </r>
  </si>
  <si>
    <t>Sum of PV of FCFF =</t>
  </si>
  <si>
    <t>Step 1:</t>
  </si>
  <si>
    <t>Step 2:</t>
  </si>
  <si>
    <t>Terminal Value (after 5 years)</t>
  </si>
  <si>
    <t>TV = FCFF5 (FY30) × (1 + g) / (WACC − g)</t>
  </si>
  <si>
    <t>Value of Company from FY31 till Infinity</t>
  </si>
  <si>
    <t>Step 3:</t>
  </si>
  <si>
    <t>Discount Terminal Value back to Today</t>
  </si>
  <si>
    <t>PV of TV = TV / (1 + WACC)^5</t>
  </si>
  <si>
    <t>Step 4:</t>
  </si>
  <si>
    <t>Enterprise Value (EV)</t>
  </si>
  <si>
    <t>EV = Total PV of FCFF + PV of Terminal</t>
  </si>
  <si>
    <r>
      <t xml:space="preserve">It is </t>
    </r>
    <r>
      <rPr>
        <b/>
        <sz val="11"/>
        <color theme="1"/>
        <rFont val="Calibri"/>
        <family val="2"/>
        <scheme val="minor"/>
      </rPr>
      <t>not yet the value of shareholders' equity</t>
    </r>
    <r>
      <rPr>
        <sz val="11"/>
        <color theme="1"/>
        <rFont val="Calibri"/>
        <family val="2"/>
        <scheme val="minor"/>
      </rPr>
      <t>.</t>
    </r>
  </si>
  <si>
    <t>Step 5:</t>
  </si>
  <si>
    <t>Equity Value</t>
  </si>
  <si>
    <t>Enterprise Value + Cash - Debt</t>
  </si>
  <si>
    <t>Step 6:</t>
  </si>
  <si>
    <t>The estimated true or fair value of a company's share based on its future cash-generating ability.</t>
  </si>
  <si>
    <r>
      <rPr>
        <b/>
        <sz val="11"/>
        <color theme="1"/>
        <rFont val="Calibri"/>
        <family val="2"/>
        <scheme val="minor"/>
      </rPr>
      <t>Intrinsic Value per Share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(Rs./Share)</t>
    </r>
  </si>
  <si>
    <t>Equity Value  (Cr. Rs.) / Share Outstanding (Cr. Shares)</t>
  </si>
  <si>
    <t>Depriciation  (₹ Cr)</t>
  </si>
  <si>
    <t>(Crores)</t>
  </si>
  <si>
    <t>(per share)</t>
  </si>
  <si>
    <t>Investment Conclusion</t>
  </si>
  <si>
    <t xml:space="preserve">Investors should compare this intrinsic value with the current market price to determine whether the stock </t>
  </si>
  <si>
    <t>is undervalued or overvalued .</t>
  </si>
  <si>
    <t>Sum of all yearly PVs (5 years)</t>
  </si>
  <si>
    <t>Enterprise Value is the value of the entire business operations available to both</t>
  </si>
  <si>
    <t xml:space="preserve"> debt holders and equity shareholders.</t>
  </si>
  <si>
    <t>Discounted Cash Flow (FCFF Approach)</t>
  </si>
  <si>
    <t>FY26–FY30</t>
  </si>
  <si>
    <t>Prepared  by :</t>
  </si>
  <si>
    <r>
      <rPr>
        <b/>
        <sz val="14"/>
        <color theme="3" tint="-0.249977111117893"/>
        <rFont val="Times New Roman"/>
        <family val="1"/>
      </rPr>
      <t>Objective</t>
    </r>
    <r>
      <rPr>
        <sz val="14"/>
        <color theme="3" tint="-0.249977111117893"/>
        <rFont val="Times New Roman"/>
        <family val="1"/>
      </rPr>
      <t xml:space="preserve"> </t>
    </r>
    <r>
      <rPr>
        <b/>
        <sz val="14"/>
        <color theme="3" tint="-0.249977111117893"/>
        <rFont val="Times New Roman"/>
        <family val="1"/>
      </rPr>
      <t>:</t>
    </r>
  </si>
  <si>
    <t>WACC:</t>
  </si>
  <si>
    <t xml:space="preserve">Methodology: </t>
  </si>
  <si>
    <t xml:space="preserve">Forecast Period: </t>
  </si>
  <si>
    <t xml:space="preserve">Terminal Growth Rate: </t>
  </si>
  <si>
    <t xml:space="preserve">Estimated Intrinsic Value: </t>
  </si>
  <si>
    <t>₹925.80 per share</t>
  </si>
  <si>
    <t>Sensitivity Analysis</t>
  </si>
  <si>
    <t xml:space="preserve">Titan Company Ltd. - Sensitivity Analysis </t>
  </si>
  <si>
    <t>The sensitivity analysis evaluates the impact of changes in WACC and Terminal Growth Rate on the estimated intrinsic value per share.</t>
  </si>
  <si>
    <t>Base Case</t>
  </si>
  <si>
    <t>Intrinsic Value per Share</t>
  </si>
  <si>
    <t xml:space="preserve">Base Assumptions </t>
  </si>
  <si>
    <t>Sensitivity of Intrinsic value per share (₹)</t>
  </si>
  <si>
    <t>WACC/g</t>
  </si>
  <si>
    <t xml:space="preserve">Interpretation </t>
  </si>
  <si>
    <r>
      <t xml:space="preserve">Titan's estimated intrinsic value ranges from approximately </t>
    </r>
    <r>
      <rPr>
        <b/>
        <sz val="12"/>
        <color rgb="FFC00000"/>
        <rFont val="Calibri"/>
        <family val="2"/>
        <scheme val="minor"/>
      </rPr>
      <t>₹678 to ₹1,423 per share</t>
    </r>
    <r>
      <rPr>
        <b/>
        <sz val="12"/>
        <color theme="1"/>
        <rFont val="Calibri"/>
        <family val="2"/>
        <scheme val="minor"/>
      </rPr>
      <t xml:space="preserve"> under different assumptions for WACC and terminal growth. </t>
    </r>
  </si>
  <si>
    <r>
      <t xml:space="preserve">Under the base-case assumptions of </t>
    </r>
    <r>
      <rPr>
        <b/>
        <sz val="12"/>
        <color rgb="FFC00000"/>
        <rFont val="Calibri"/>
        <family val="2"/>
        <scheme val="minor"/>
      </rPr>
      <t>9.94% WACC</t>
    </r>
    <r>
      <rPr>
        <b/>
        <sz val="12"/>
        <color theme="1"/>
        <rFont val="Calibri"/>
        <family val="2"/>
        <scheme val="minor"/>
      </rPr>
      <t xml:space="preserve"> and </t>
    </r>
    <r>
      <rPr>
        <b/>
        <sz val="12"/>
        <color rgb="FFC00000"/>
        <rFont val="Calibri"/>
        <family val="2"/>
        <scheme val="minor"/>
      </rPr>
      <t>4% terminal growth</t>
    </r>
    <r>
      <rPr>
        <b/>
        <sz val="12"/>
        <color theme="1"/>
        <rFont val="Calibri"/>
        <family val="2"/>
        <scheme val="minor"/>
      </rPr>
      <t xml:space="preserve">, the </t>
    </r>
    <r>
      <rPr>
        <b/>
        <sz val="12"/>
        <color rgb="FFC00000"/>
        <rFont val="Calibri"/>
        <family val="2"/>
        <scheme val="minor"/>
      </rPr>
      <t>intrinsic value</t>
    </r>
    <r>
      <rPr>
        <b/>
        <sz val="12"/>
        <color theme="1"/>
        <rFont val="Calibri"/>
        <family val="2"/>
        <scheme val="minor"/>
      </rPr>
      <t xml:space="preserve"> is </t>
    </r>
    <r>
      <rPr>
        <b/>
        <sz val="12"/>
        <color rgb="FFC00000"/>
        <rFont val="Calibri"/>
        <family val="2"/>
        <scheme val="minor"/>
      </rPr>
      <t>estimated</t>
    </r>
    <r>
      <rPr>
        <b/>
        <sz val="12"/>
        <color theme="1"/>
        <rFont val="Calibri"/>
        <family val="2"/>
        <scheme val="minor"/>
      </rPr>
      <t xml:space="preserve"> at </t>
    </r>
    <r>
      <rPr>
        <b/>
        <sz val="12"/>
        <color rgb="FFC00000"/>
        <rFont val="Calibri"/>
        <family val="2"/>
        <scheme val="minor"/>
      </rPr>
      <t>₹925.73 per share</t>
    </r>
    <r>
      <rPr>
        <b/>
        <sz val="12"/>
        <color theme="1"/>
        <rFont val="Calibri"/>
        <family val="2"/>
        <scheme val="minor"/>
      </rPr>
      <t>.</t>
    </r>
  </si>
  <si>
    <t xml:space="preserve">Titan Company Ltd.  - Dashboard </t>
  </si>
  <si>
    <t xml:space="preserve">Market Price </t>
  </si>
  <si>
    <t>Intrinsic Value</t>
  </si>
  <si>
    <t>Upside/Downside</t>
  </si>
  <si>
    <t>Recommendation</t>
  </si>
  <si>
    <t xml:space="preserve">Terminal growth </t>
  </si>
  <si>
    <t>Enterprise Value (In Cr.)</t>
  </si>
  <si>
    <t>Equity Value (In Cr.)</t>
  </si>
  <si>
    <t xml:space="preserve">Intrinsic Value </t>
  </si>
  <si>
    <t>Year</t>
  </si>
  <si>
    <t>Key Metrics Table</t>
  </si>
  <si>
    <t xml:space="preserve"> Projected FCFF(in Cr.Rs.)</t>
  </si>
  <si>
    <t xml:space="preserve">Valuation Comparison Chart </t>
  </si>
  <si>
    <t>Market Price</t>
  </si>
  <si>
    <r>
      <t>Based on the DCF valuation, Titan Company's estimated intrinsic value is</t>
    </r>
    <r>
      <rPr>
        <b/>
        <sz val="12"/>
        <color rgb="FFC00000"/>
        <rFont val="Calibri"/>
        <family val="2"/>
        <scheme val="minor"/>
      </rPr>
      <t xml:space="preserve"> ₹925.80 per share</t>
    </r>
    <r>
      <rPr>
        <b/>
        <sz val="12"/>
        <color theme="5"/>
        <rFont val="Calibri"/>
        <family val="2"/>
        <scheme val="minor"/>
      </rPr>
      <t xml:space="preserve">. </t>
    </r>
  </si>
  <si>
    <r>
      <t xml:space="preserve">The valuation is derived using a </t>
    </r>
    <r>
      <rPr>
        <b/>
        <sz val="12"/>
        <color rgb="FFC00000"/>
        <rFont val="Calibri"/>
        <family val="2"/>
        <scheme val="minor"/>
      </rPr>
      <t>WACC of 9.94%</t>
    </r>
    <r>
      <rPr>
        <b/>
        <sz val="12"/>
        <color rgb="FF87000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and a </t>
    </r>
    <r>
      <rPr>
        <b/>
        <sz val="12"/>
        <color rgb="FFC00000"/>
        <rFont val="Calibri"/>
        <family val="2"/>
        <scheme val="minor"/>
      </rPr>
      <t>terminal growth rate of 4%.</t>
    </r>
    <r>
      <rPr>
        <b/>
        <sz val="12"/>
        <color theme="1"/>
        <rFont val="Calibri"/>
        <family val="2"/>
        <scheme val="minor"/>
      </rPr>
      <t xml:space="preserve"> </t>
    </r>
  </si>
  <si>
    <r>
      <t xml:space="preserve">The DCF analysis estimates </t>
    </r>
    <r>
      <rPr>
        <b/>
        <sz val="12"/>
        <color rgb="FFC00000"/>
        <rFont val="Calibri"/>
        <family val="2"/>
        <scheme val="minor"/>
      </rPr>
      <t>Titan Company's fair valu</t>
    </r>
    <r>
      <rPr>
        <b/>
        <sz val="12"/>
        <color theme="1"/>
        <rFont val="Calibri"/>
        <family val="2"/>
        <scheme val="minor"/>
      </rPr>
      <t xml:space="preserve">e at </t>
    </r>
    <r>
      <rPr>
        <b/>
        <sz val="12"/>
        <color rgb="FFC00000"/>
        <rFont val="Calibri"/>
        <family val="2"/>
        <scheme val="minor"/>
      </rPr>
      <t>₹925.80 per share</t>
    </r>
    <r>
      <rPr>
        <b/>
        <sz val="12"/>
        <color theme="1"/>
        <rFont val="Calibri"/>
        <family val="2"/>
        <scheme val="minor"/>
      </rPr>
      <t xml:space="preserve">, </t>
    </r>
  </si>
  <si>
    <r>
      <rPr>
        <b/>
        <sz val="12"/>
        <color rgb="FFC00000"/>
        <rFont val="Calibri"/>
        <family val="2"/>
        <scheme val="minor"/>
      </rPr>
      <t xml:space="preserve">indicating </t>
    </r>
    <r>
      <rPr>
        <b/>
        <sz val="12"/>
        <color theme="1"/>
        <rFont val="Calibri"/>
        <family val="2"/>
        <scheme val="minor"/>
      </rPr>
      <t>that the</t>
    </r>
    <r>
      <rPr>
        <b/>
        <sz val="12"/>
        <color rgb="FFC00000"/>
        <rFont val="Calibri"/>
        <family val="2"/>
        <scheme val="minor"/>
      </rPr>
      <t xml:space="preserve"> stock's attractiveness</t>
    </r>
    <r>
      <rPr>
        <b/>
        <sz val="12"/>
        <color theme="1"/>
        <rFont val="Calibri"/>
        <family val="2"/>
        <scheme val="minor"/>
      </rPr>
      <t xml:space="preserve"> depends on its prevailing market price relative to this intrinsic value.</t>
    </r>
  </si>
  <si>
    <r>
      <t xml:space="preserve">• Current Market Price: </t>
    </r>
    <r>
      <rPr>
        <b/>
        <sz val="14"/>
        <color rgb="FF0069B9"/>
        <rFont val="Calibri"/>
        <family val="2"/>
        <scheme val="minor"/>
      </rPr>
      <t>₹3,850.00</t>
    </r>
  </si>
  <si>
    <r>
      <t>• Intrinsic Value per Share:</t>
    </r>
    <r>
      <rPr>
        <b/>
        <sz val="14"/>
        <color rgb="FFD70000"/>
        <rFont val="Calibri"/>
        <family val="2"/>
        <scheme val="minor"/>
      </rPr>
      <t xml:space="preserve"> </t>
    </r>
    <r>
      <rPr>
        <b/>
        <sz val="14"/>
        <color rgb="FF006CA9"/>
        <rFont val="Calibri"/>
        <family val="2"/>
        <scheme val="minor"/>
      </rPr>
      <t>₹925.73</t>
    </r>
  </si>
  <si>
    <r>
      <t xml:space="preserve">• Implied Upside/(Downside): </t>
    </r>
    <r>
      <rPr>
        <b/>
        <sz val="14"/>
        <color rgb="FF006CA9"/>
        <rFont val="Calibri"/>
        <family val="2"/>
        <scheme val="minor"/>
      </rPr>
      <t>-75.95%</t>
    </r>
  </si>
  <si>
    <r>
      <t xml:space="preserve">• Recommendation: </t>
    </r>
    <r>
      <rPr>
        <b/>
        <sz val="14"/>
        <color rgb="FF006CA9"/>
        <rFont val="Calibri"/>
        <family val="2"/>
        <scheme val="minor"/>
      </rPr>
      <t>SELL</t>
    </r>
  </si>
  <si>
    <r>
      <t>Under the</t>
    </r>
    <r>
      <rPr>
        <b/>
        <sz val="14"/>
        <color rgb="FFC00000"/>
        <rFont val="Calibri"/>
        <family val="2"/>
        <scheme val="minor"/>
      </rPr>
      <t xml:space="preserve"> </t>
    </r>
    <r>
      <rPr>
        <b/>
        <sz val="14"/>
        <color rgb="FF006CA9"/>
        <rFont val="Calibri"/>
        <family val="2"/>
        <scheme val="minor"/>
      </rPr>
      <t xml:space="preserve">base-case assumptions </t>
    </r>
    <r>
      <rPr>
        <b/>
        <sz val="14"/>
        <color theme="1"/>
        <rFont val="Calibri"/>
        <family val="2"/>
        <scheme val="minor"/>
      </rPr>
      <t xml:space="preserve">of </t>
    </r>
    <r>
      <rPr>
        <b/>
        <sz val="14"/>
        <color rgb="FFFF0000"/>
        <rFont val="Calibri"/>
        <family val="2"/>
        <scheme val="minor"/>
      </rPr>
      <t>9.94% WACC</t>
    </r>
    <r>
      <rPr>
        <b/>
        <sz val="14"/>
        <color theme="1"/>
        <rFont val="Calibri"/>
        <family val="2"/>
        <scheme val="minor"/>
      </rPr>
      <t xml:space="preserve"> and </t>
    </r>
    <r>
      <rPr>
        <b/>
        <sz val="14"/>
        <color rgb="FFFF0000"/>
        <rFont val="Calibri"/>
        <family val="2"/>
        <scheme val="minor"/>
      </rPr>
      <t>4.00% terminal growth</t>
    </r>
    <r>
      <rPr>
        <b/>
        <sz val="14"/>
        <color theme="1"/>
        <rFont val="Calibri"/>
        <family val="2"/>
        <scheme val="minor"/>
      </rPr>
      <t xml:space="preserve">, </t>
    </r>
  </si>
  <si>
    <r>
      <t>This implies</t>
    </r>
    <r>
      <rPr>
        <b/>
        <sz val="14"/>
        <color rgb="FFFF0D0D"/>
        <rFont val="Calibri"/>
        <family val="2"/>
        <scheme val="minor"/>
      </rPr>
      <t xml:space="preserve"> a downside</t>
    </r>
    <r>
      <rPr>
        <b/>
        <sz val="14"/>
        <color theme="1"/>
        <rFont val="Calibri"/>
        <family val="2"/>
        <scheme val="minor"/>
      </rPr>
      <t xml:space="preserve"> of </t>
    </r>
    <r>
      <rPr>
        <b/>
        <sz val="14"/>
        <color rgb="FFFF0D0D"/>
        <rFont val="Calibri"/>
        <family val="2"/>
        <scheme val="minor"/>
      </rPr>
      <t>75.95%</t>
    </r>
    <r>
      <rPr>
        <b/>
        <sz val="14"/>
        <color theme="1"/>
        <rFont val="Calibri"/>
        <family val="2"/>
        <scheme val="minor"/>
      </rPr>
      <t xml:space="preserve">, resulting in a </t>
    </r>
    <r>
      <rPr>
        <b/>
        <sz val="14"/>
        <color rgb="FFFF0D0D"/>
        <rFont val="Calibri"/>
        <family val="2"/>
        <scheme val="minor"/>
      </rPr>
      <t>SELL</t>
    </r>
    <r>
      <rPr>
        <b/>
        <sz val="14"/>
        <color theme="1"/>
        <rFont val="Calibri"/>
        <family val="2"/>
        <scheme val="minor"/>
      </rPr>
      <t xml:space="preserve"> recommendation.</t>
    </r>
  </si>
  <si>
    <r>
      <t xml:space="preserve">Titan's </t>
    </r>
    <r>
      <rPr>
        <b/>
        <sz val="14"/>
        <color rgb="FFFF0D0D"/>
        <rFont val="Calibri"/>
        <family val="2"/>
        <scheme val="minor"/>
      </rPr>
      <t>intrinsic value</t>
    </r>
    <r>
      <rPr>
        <b/>
        <sz val="14"/>
        <color theme="1"/>
        <rFont val="Calibri"/>
        <family val="2"/>
        <scheme val="minor"/>
      </rPr>
      <t xml:space="preserve"> is estimated at </t>
    </r>
    <r>
      <rPr>
        <b/>
        <sz val="14"/>
        <color rgb="FFFF0D0D"/>
        <rFont val="Calibri"/>
        <family val="2"/>
        <scheme val="minor"/>
      </rPr>
      <t>₹925.73 per share</t>
    </r>
    <r>
      <rPr>
        <b/>
        <sz val="14"/>
        <color theme="1"/>
        <rFont val="Calibri"/>
        <family val="2"/>
        <scheme val="minor"/>
      </rPr>
      <t>,</t>
    </r>
  </si>
  <si>
    <r>
      <t>compared with the</t>
    </r>
    <r>
      <rPr>
        <b/>
        <sz val="14"/>
        <color rgb="FFFF0D0D"/>
        <rFont val="Calibri"/>
        <family val="2"/>
        <scheme val="minor"/>
      </rPr>
      <t xml:space="preserve"> current market price </t>
    </r>
    <r>
      <rPr>
        <b/>
        <sz val="14"/>
        <color theme="1"/>
        <rFont val="Calibri"/>
        <family val="2"/>
        <scheme val="minor"/>
      </rPr>
      <t xml:space="preserve">of </t>
    </r>
    <r>
      <rPr>
        <b/>
        <sz val="14"/>
        <color rgb="FFFF0D0D"/>
        <rFont val="Calibri"/>
        <family val="2"/>
        <scheme val="minor"/>
      </rPr>
      <t>₹3,850 per share</t>
    </r>
    <r>
      <rPr>
        <b/>
        <sz val="14"/>
        <color theme="1"/>
        <rFont val="Calibri"/>
        <family val="2"/>
        <scheme val="minor"/>
      </rPr>
      <t xml:space="preserve">. </t>
    </r>
  </si>
  <si>
    <t>DCF Control Panel</t>
  </si>
  <si>
    <t>Company  Information</t>
  </si>
  <si>
    <t>Company Name</t>
  </si>
  <si>
    <t xml:space="preserve">Current Share Price </t>
  </si>
  <si>
    <t xml:space="preserve">Shares Outstanding </t>
  </si>
  <si>
    <t>Net Debt</t>
  </si>
  <si>
    <t>Titan Company Ltd.</t>
  </si>
  <si>
    <t>Forecast Assumptions</t>
  </si>
  <si>
    <t>Forecast Years</t>
  </si>
  <si>
    <t>Revenue Growth</t>
  </si>
  <si>
    <t>EBITDA Margin</t>
  </si>
  <si>
    <t xml:space="preserve">Terminal Growth </t>
  </si>
  <si>
    <t>Scenerio</t>
  </si>
  <si>
    <t>Scenarios</t>
  </si>
  <si>
    <t>Bear</t>
  </si>
  <si>
    <t>Base</t>
  </si>
  <si>
    <t>Bull</t>
  </si>
  <si>
    <r>
      <t>Note:</t>
    </r>
    <r>
      <rPr>
        <sz val="11"/>
        <color theme="1"/>
        <rFont val="Calibri"/>
        <family val="2"/>
        <scheme val="minor"/>
      </rPr>
      <t xml:space="preserve"> Forecast Year and Scenario selectors are reserved for future enhancements and are not currently linked to the model.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</si>
</sst>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_ [$₹-4009]\ * #,##0.00_ ;_ [$₹-4009]\ * \-#,##0.00_ ;_ [$₹-4009]\ * &quot;-&quot;??_ ;_ @_ 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rial Rounded MT Bold"/>
      <family val="2"/>
    </font>
    <font>
      <b/>
      <sz val="14"/>
      <color theme="3" tint="-0.249977111117893"/>
      <name val="Times New Roman"/>
      <family val="1"/>
    </font>
    <font>
      <sz val="11"/>
      <color theme="3" tint="-0.249977111117893"/>
      <name val="Calibri"/>
      <family val="2"/>
      <scheme val="minor"/>
    </font>
    <font>
      <sz val="11"/>
      <color theme="3" tint="-0.499984740745262"/>
      <name val="Arial Rounded MT Bold"/>
      <family val="2"/>
    </font>
    <font>
      <sz val="10"/>
      <color theme="1"/>
      <name val="Arial Rounded MT Bold"/>
      <family val="2"/>
    </font>
    <font>
      <sz val="9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b/>
      <u val="double"/>
      <sz val="16"/>
      <color theme="1"/>
      <name val="Times New Roman"/>
      <family val="1"/>
    </font>
    <font>
      <u val="double"/>
      <sz val="11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u/>
      <sz val="18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3" tint="-0.249977111117893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2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rgb="FF870000"/>
      <name val="Calibri"/>
      <family val="2"/>
      <scheme val="minor"/>
    </font>
    <font>
      <b/>
      <u/>
      <sz val="18"/>
      <color theme="3" tint="-0.499984740745262"/>
      <name val="Times New Roman"/>
      <family val="1"/>
    </font>
    <font>
      <b/>
      <sz val="22"/>
      <color rgb="FFFFFFFF"/>
      <name val="Calibri"/>
      <family val="2"/>
      <scheme val="minor"/>
    </font>
    <font>
      <b/>
      <sz val="14"/>
      <color rgb="FFD70000"/>
      <name val="Calibri"/>
      <family val="2"/>
      <scheme val="minor"/>
    </font>
    <font>
      <b/>
      <sz val="14"/>
      <color rgb="FF0069B9"/>
      <name val="Calibri"/>
      <family val="2"/>
      <scheme val="minor"/>
    </font>
    <font>
      <b/>
      <sz val="14"/>
      <color rgb="FF006CA9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0D0D"/>
      <name val="Calibri"/>
      <family val="2"/>
      <scheme val="minor"/>
    </font>
    <font>
      <b/>
      <sz val="26"/>
      <color rgb="FFFFFFFF"/>
      <name val="Calibri"/>
      <family val="2"/>
      <scheme val="minor"/>
    </font>
    <font>
      <b/>
      <sz val="28"/>
      <color rgb="FFFFFFFF"/>
      <name val="Calibri"/>
      <family val="2"/>
      <scheme val="minor"/>
    </font>
    <font>
      <b/>
      <u/>
      <sz val="14"/>
      <color theme="1"/>
      <name val="Times New Roman"/>
      <family val="1"/>
    </font>
    <font>
      <b/>
      <u/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F7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113F69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4477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5" fillId="0" borderId="0" applyFont="0" applyFill="0" applyBorder="0" applyAlignment="0" applyProtection="0"/>
  </cellStyleXfs>
  <cellXfs count="351"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0" xfId="0" applyFont="1"/>
    <xf numFmtId="0" fontId="0" fillId="0" borderId="2" xfId="0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center"/>
    </xf>
    <xf numFmtId="0" fontId="4" fillId="6" borderId="3" xfId="0" applyFont="1" applyFill="1" applyBorder="1"/>
    <xf numFmtId="0" fontId="0" fillId="3" borderId="0" xfId="0" applyFill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3" borderId="0" xfId="0" applyFill="1" applyAlignment="1">
      <alignment horizontal="center"/>
    </xf>
    <xf numFmtId="0" fontId="1" fillId="0" borderId="0" xfId="0" applyFont="1"/>
    <xf numFmtId="0" fontId="0" fillId="4" borderId="2" xfId="0" applyFill="1" applyBorder="1"/>
    <xf numFmtId="0" fontId="0" fillId="0" borderId="10" xfId="0" applyBorder="1"/>
    <xf numFmtId="0" fontId="4" fillId="3" borderId="0" xfId="0" applyFont="1" applyFill="1"/>
    <xf numFmtId="10" fontId="0" fillId="4" borderId="2" xfId="0" applyNumberFormat="1" applyFill="1" applyBorder="1"/>
    <xf numFmtId="164" fontId="0" fillId="3" borderId="13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0" fillId="0" borderId="0" xfId="0" applyNumberFormat="1"/>
    <xf numFmtId="0" fontId="17" fillId="0" borderId="0" xfId="0" applyFont="1"/>
    <xf numFmtId="164" fontId="0" fillId="4" borderId="2" xfId="0" applyNumberFormat="1" applyFill="1" applyBorder="1" applyAlignment="1">
      <alignment horizontal="center" vertical="center" wrapText="1"/>
    </xf>
    <xf numFmtId="164" fontId="0" fillId="4" borderId="14" xfId="0" applyNumberFormat="1" applyFill="1" applyBorder="1" applyAlignment="1">
      <alignment horizontal="center" vertical="center" wrapText="1"/>
    </xf>
    <xf numFmtId="0" fontId="1" fillId="2" borderId="6" xfId="0" applyFont="1" applyFill="1" applyBorder="1"/>
    <xf numFmtId="0" fontId="0" fillId="0" borderId="4" xfId="0" applyBorder="1"/>
    <xf numFmtId="0" fontId="4" fillId="6" borderId="1" xfId="0" applyFont="1" applyFill="1" applyBorder="1" applyAlignment="1">
      <alignment vertical="center" wrapText="1"/>
    </xf>
    <xf numFmtId="0" fontId="0" fillId="0" borderId="15" xfId="0" applyBorder="1"/>
    <xf numFmtId="0" fontId="0" fillId="0" borderId="3" xfId="0" applyBorder="1"/>
    <xf numFmtId="9" fontId="0" fillId="4" borderId="5" xfId="0" applyNumberFormat="1" applyFill="1" applyBorder="1"/>
    <xf numFmtId="164" fontId="0" fillId="4" borderId="2" xfId="0" applyNumberFormat="1" applyFill="1" applyBorder="1"/>
    <xf numFmtId="164" fontId="2" fillId="2" borderId="9" xfId="0" applyNumberFormat="1" applyFont="1" applyFill="1" applyBorder="1"/>
    <xf numFmtId="9" fontId="0" fillId="4" borderId="2" xfId="0" applyNumberFormat="1" applyFill="1" applyBorder="1"/>
    <xf numFmtId="10" fontId="0" fillId="4" borderId="5" xfId="0" applyNumberFormat="1" applyFill="1" applyBorder="1"/>
    <xf numFmtId="0" fontId="22" fillId="0" borderId="0" xfId="0" applyFont="1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2" borderId="9" xfId="0" applyFont="1" applyFill="1" applyBorder="1"/>
    <xf numFmtId="0" fontId="4" fillId="6" borderId="3" xfId="0" applyFont="1" applyFill="1" applyBorder="1" applyAlignment="1">
      <alignment vertical="center" wrapText="1"/>
    </xf>
    <xf numFmtId="0" fontId="4" fillId="6" borderId="14" xfId="0" applyFont="1" applyFill="1" applyBorder="1"/>
    <xf numFmtId="0" fontId="4" fillId="6" borderId="16" xfId="0" applyFont="1" applyFill="1" applyBorder="1"/>
    <xf numFmtId="164" fontId="0" fillId="4" borderId="11" xfId="0" applyNumberFormat="1" applyFill="1" applyBorder="1"/>
    <xf numFmtId="49" fontId="0" fillId="4" borderId="12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10" fontId="0" fillId="4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4" borderId="2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/>
    <xf numFmtId="10" fontId="0" fillId="0" borderId="0" xfId="0" applyNumberFormat="1"/>
    <xf numFmtId="9" fontId="0" fillId="0" borderId="0" xfId="0" applyNumberFormat="1"/>
    <xf numFmtId="10" fontId="1" fillId="0" borderId="17" xfId="0" applyNumberFormat="1" applyFont="1" applyBorder="1"/>
    <xf numFmtId="10" fontId="1" fillId="0" borderId="17" xfId="1" applyNumberFormat="1" applyFont="1" applyBorder="1"/>
    <xf numFmtId="164" fontId="1" fillId="0" borderId="17" xfId="0" applyNumberFormat="1" applyFont="1" applyBorder="1"/>
    <xf numFmtId="164" fontId="0" fillId="0" borderId="12" xfId="0" applyNumberFormat="1" applyBorder="1"/>
    <xf numFmtId="0" fontId="1" fillId="2" borderId="18" xfId="0" applyFont="1" applyFill="1" applyBorder="1" applyAlignment="1">
      <alignment horizontal="left" vertical="center" indent="1"/>
    </xf>
    <xf numFmtId="0" fontId="1" fillId="2" borderId="20" xfId="0" applyFont="1" applyFill="1" applyBorder="1"/>
    <xf numFmtId="0" fontId="1" fillId="2" borderId="33" xfId="0" applyFont="1" applyFill="1" applyBorder="1"/>
    <xf numFmtId="0" fontId="33" fillId="0" borderId="0" xfId="0" applyFont="1"/>
    <xf numFmtId="0" fontId="0" fillId="12" borderId="28" xfId="0" applyFill="1" applyBorder="1"/>
    <xf numFmtId="0" fontId="0" fillId="12" borderId="20" xfId="0" applyFill="1" applyBorder="1"/>
    <xf numFmtId="0" fontId="0" fillId="11" borderId="35" xfId="0" applyFill="1" applyBorder="1"/>
    <xf numFmtId="0" fontId="0" fillId="11" borderId="37" xfId="0" applyFill="1" applyBorder="1"/>
    <xf numFmtId="0" fontId="0" fillId="11" borderId="30" xfId="0" applyFill="1" applyBorder="1"/>
    <xf numFmtId="0" fontId="0" fillId="11" borderId="39" xfId="0" applyFill="1" applyBorder="1"/>
    <xf numFmtId="10" fontId="1" fillId="11" borderId="36" xfId="0" applyNumberFormat="1" applyFont="1" applyFill="1" applyBorder="1"/>
    <xf numFmtId="9" fontId="1" fillId="11" borderId="38" xfId="0" applyNumberFormat="1" applyFont="1" applyFill="1" applyBorder="1"/>
    <xf numFmtId="164" fontId="1" fillId="11" borderId="38" xfId="0" applyNumberFormat="1" applyFont="1" applyFill="1" applyBorder="1"/>
    <xf numFmtId="164" fontId="1" fillId="11" borderId="40" xfId="0" applyNumberFormat="1" applyFont="1" applyFill="1" applyBorder="1"/>
    <xf numFmtId="164" fontId="1" fillId="11" borderId="36" xfId="0" applyNumberFormat="1" applyFont="1" applyFill="1" applyBorder="1"/>
    <xf numFmtId="164" fontId="1" fillId="11" borderId="25" xfId="0" applyNumberFormat="1" applyFont="1" applyFill="1" applyBorder="1"/>
    <xf numFmtId="0" fontId="1" fillId="12" borderId="35" xfId="0" applyFont="1" applyFill="1" applyBorder="1"/>
    <xf numFmtId="10" fontId="1" fillId="12" borderId="16" xfId="0" applyNumberFormat="1" applyFont="1" applyFill="1" applyBorder="1"/>
    <xf numFmtId="0" fontId="1" fillId="12" borderId="37" xfId="0" applyFont="1" applyFill="1" applyBorder="1"/>
    <xf numFmtId="0" fontId="1" fillId="12" borderId="12" xfId="0" applyFont="1" applyFill="1" applyBorder="1"/>
    <xf numFmtId="0" fontId="1" fillId="12" borderId="39" xfId="0" applyFont="1" applyFill="1" applyBorder="1"/>
    <xf numFmtId="0" fontId="1" fillId="12" borderId="7" xfId="0" applyFont="1" applyFill="1" applyBorder="1"/>
    <xf numFmtId="0" fontId="1" fillId="6" borderId="19" xfId="0" applyFont="1" applyFill="1" applyBorder="1" applyAlignment="1">
      <alignment horizontal="left" vertical="center"/>
    </xf>
    <xf numFmtId="0" fontId="1" fillId="6" borderId="24" xfId="0" applyFont="1" applyFill="1" applyBorder="1" applyAlignment="1">
      <alignment horizontal="left" vertical="center"/>
    </xf>
    <xf numFmtId="0" fontId="0" fillId="6" borderId="20" xfId="0" applyFill="1" applyBorder="1"/>
    <xf numFmtId="0" fontId="0" fillId="6" borderId="22" xfId="0" applyFill="1" applyBorder="1"/>
    <xf numFmtId="0" fontId="0" fillId="6" borderId="25" xfId="0" applyFill="1" applyBorder="1"/>
    <xf numFmtId="0" fontId="0" fillId="6" borderId="24" xfId="0" applyFill="1" applyBorder="1" applyAlignment="1">
      <alignment horizontal="left" vertical="center"/>
    </xf>
    <xf numFmtId="0" fontId="0" fillId="6" borderId="0" xfId="0" applyFill="1"/>
    <xf numFmtId="0" fontId="0" fillId="6" borderId="24" xfId="0" applyFill="1" applyBorder="1"/>
    <xf numFmtId="0" fontId="1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6" fillId="6" borderId="19" xfId="0" applyFont="1" applyFill="1" applyBorder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16" fillId="6" borderId="24" xfId="0" applyFont="1" applyFill="1" applyBorder="1" applyAlignment="1">
      <alignment horizontal="left" vertical="center" indent="1"/>
    </xf>
    <xf numFmtId="0" fontId="1" fillId="16" borderId="0" xfId="0" applyFont="1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16" fillId="6" borderId="18" xfId="0" applyFont="1" applyFill="1" applyBorder="1" applyAlignment="1">
      <alignment horizontal="left" vertical="center"/>
    </xf>
    <xf numFmtId="0" fontId="16" fillId="6" borderId="21" xfId="0" applyFont="1" applyFill="1" applyBorder="1" applyAlignment="1">
      <alignment horizontal="left" vertical="center"/>
    </xf>
    <xf numFmtId="0" fontId="16" fillId="6" borderId="18" xfId="0" applyFont="1" applyFill="1" applyBorder="1" applyAlignment="1">
      <alignment horizontal="left" indent="1"/>
    </xf>
    <xf numFmtId="0" fontId="0" fillId="6" borderId="19" xfId="0" applyFill="1" applyBorder="1" applyAlignment="1">
      <alignment horizontal="left" vertical="center"/>
    </xf>
    <xf numFmtId="0" fontId="16" fillId="6" borderId="21" xfId="0" applyFont="1" applyFill="1" applyBorder="1" applyAlignment="1">
      <alignment horizontal="left" indent="1"/>
    </xf>
    <xf numFmtId="0" fontId="16" fillId="6" borderId="23" xfId="0" applyFont="1" applyFill="1" applyBorder="1" applyAlignment="1">
      <alignment horizontal="left" indent="1"/>
    </xf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1" xfId="0" applyBorder="1"/>
    <xf numFmtId="0" fontId="0" fillId="16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6" borderId="35" xfId="0" applyFill="1" applyBorder="1"/>
    <xf numFmtId="10" fontId="0" fillId="4" borderId="36" xfId="0" applyNumberFormat="1" applyFill="1" applyBorder="1"/>
    <xf numFmtId="0" fontId="0" fillId="6" borderId="37" xfId="0" applyFill="1" applyBorder="1"/>
    <xf numFmtId="9" fontId="0" fillId="4" borderId="38" xfId="0" applyNumberFormat="1" applyFill="1" applyBorder="1"/>
    <xf numFmtId="0" fontId="0" fillId="6" borderId="39" xfId="0" applyFill="1" applyBorder="1"/>
    <xf numFmtId="164" fontId="0" fillId="4" borderId="40" xfId="0" applyNumberFormat="1" applyFill="1" applyBorder="1"/>
    <xf numFmtId="10" fontId="0" fillId="0" borderId="35" xfId="0" applyNumberFormat="1" applyBorder="1"/>
    <xf numFmtId="164" fontId="0" fillId="0" borderId="16" xfId="0" applyNumberFormat="1" applyBorder="1"/>
    <xf numFmtId="164" fontId="0" fillId="0" borderId="36" xfId="0" applyNumberFormat="1" applyBorder="1"/>
    <xf numFmtId="10" fontId="0" fillId="0" borderId="37" xfId="0" applyNumberFormat="1" applyBorder="1"/>
    <xf numFmtId="164" fontId="0" fillId="0" borderId="38" xfId="0" applyNumberFormat="1" applyBorder="1"/>
    <xf numFmtId="10" fontId="0" fillId="0" borderId="39" xfId="0" applyNumberFormat="1" applyBorder="1"/>
    <xf numFmtId="164" fontId="0" fillId="0" borderId="7" xfId="0" applyNumberFormat="1" applyBorder="1"/>
    <xf numFmtId="164" fontId="0" fillId="0" borderId="40" xfId="0" applyNumberFormat="1" applyBorder="1"/>
    <xf numFmtId="0" fontId="2" fillId="4" borderId="18" xfId="0" applyFont="1" applyFill="1" applyBorder="1"/>
    <xf numFmtId="0" fontId="1" fillId="4" borderId="19" xfId="0" applyFont="1" applyFill="1" applyBorder="1"/>
    <xf numFmtId="0" fontId="0" fillId="4" borderId="20" xfId="0" applyFill="1" applyBorder="1"/>
    <xf numFmtId="0" fontId="2" fillId="4" borderId="23" xfId="0" applyFont="1" applyFill="1" applyBorder="1"/>
    <xf numFmtId="0" fontId="1" fillId="4" borderId="24" xfId="0" applyFont="1" applyFill="1" applyBorder="1"/>
    <xf numFmtId="0" fontId="0" fillId="4" borderId="25" xfId="0" applyFill="1" applyBorder="1"/>
    <xf numFmtId="0" fontId="0" fillId="7" borderId="6" xfId="0" applyFill="1" applyBorder="1"/>
    <xf numFmtId="0" fontId="0" fillId="7" borderId="9" xfId="0" applyFill="1" applyBorder="1"/>
    <xf numFmtId="0" fontId="0" fillId="9" borderId="9" xfId="0" applyFill="1" applyBorder="1"/>
    <xf numFmtId="0" fontId="0" fillId="4" borderId="19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4" xfId="0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2" fillId="4" borderId="23" xfId="0" applyFont="1" applyFill="1" applyBorder="1" applyAlignment="1">
      <alignment horizontal="left"/>
    </xf>
    <xf numFmtId="0" fontId="16" fillId="4" borderId="18" xfId="0" applyFont="1" applyFill="1" applyBorder="1" applyAlignment="1">
      <alignment horizontal="left"/>
    </xf>
    <xf numFmtId="0" fontId="19" fillId="4" borderId="19" xfId="0" applyFont="1" applyFill="1" applyBorder="1" applyAlignment="1">
      <alignment horizontal="left"/>
    </xf>
    <xf numFmtId="0" fontId="19" fillId="4" borderId="19" xfId="0" applyFont="1" applyFill="1" applyBorder="1" applyAlignment="1">
      <alignment horizontal="center"/>
    </xf>
    <xf numFmtId="0" fontId="19" fillId="4" borderId="21" xfId="0" applyFont="1" applyFill="1" applyBorder="1" applyAlignment="1">
      <alignment horizontal="left" vertical="center"/>
    </xf>
    <xf numFmtId="0" fontId="19" fillId="4" borderId="0" xfId="0" applyFont="1" applyFill="1" applyAlignment="1">
      <alignment horizontal="left"/>
    </xf>
    <xf numFmtId="0" fontId="19" fillId="4" borderId="0" xfId="0" applyFont="1" applyFill="1" applyAlignment="1">
      <alignment horizontal="center"/>
    </xf>
    <xf numFmtId="0" fontId="16" fillId="4" borderId="23" xfId="0" applyFont="1" applyFill="1" applyBorder="1" applyAlignment="1">
      <alignment horizontal="left"/>
    </xf>
    <xf numFmtId="0" fontId="19" fillId="4" borderId="24" xfId="0" applyFont="1" applyFill="1" applyBorder="1" applyAlignment="1">
      <alignment horizontal="left"/>
    </xf>
    <xf numFmtId="0" fontId="19" fillId="4" borderId="24" xfId="0" applyFont="1" applyFill="1" applyBorder="1" applyAlignment="1">
      <alignment horizontal="center"/>
    </xf>
    <xf numFmtId="0" fontId="0" fillId="4" borderId="19" xfId="0" applyFill="1" applyBorder="1"/>
    <xf numFmtId="0" fontId="0" fillId="4" borderId="22" xfId="0" applyFill="1" applyBorder="1"/>
    <xf numFmtId="0" fontId="0" fillId="4" borderId="24" xfId="0" applyFill="1" applyBorder="1"/>
    <xf numFmtId="0" fontId="23" fillId="7" borderId="6" xfId="0" applyFont="1" applyFill="1" applyBorder="1"/>
    <xf numFmtId="0" fontId="0" fillId="2" borderId="47" xfId="0" applyFill="1" applyBorder="1"/>
    <xf numFmtId="0" fontId="1" fillId="2" borderId="24" xfId="0" applyFont="1" applyFill="1" applyBorder="1"/>
    <xf numFmtId="0" fontId="26" fillId="9" borderId="6" xfId="0" applyFont="1" applyFill="1" applyBorder="1" applyAlignment="1">
      <alignment vertical="center"/>
    </xf>
    <xf numFmtId="0" fontId="2" fillId="4" borderId="21" xfId="0" applyFont="1" applyFill="1" applyBorder="1" applyAlignment="1">
      <alignment horizontal="left"/>
    </xf>
    <xf numFmtId="0" fontId="2" fillId="4" borderId="19" xfId="0" applyFont="1" applyFill="1" applyBorder="1"/>
    <xf numFmtId="0" fontId="2" fillId="4" borderId="24" xfId="0" applyFont="1" applyFill="1" applyBorder="1"/>
    <xf numFmtId="0" fontId="43" fillId="8" borderId="33" xfId="0" applyFont="1" applyFill="1" applyBorder="1"/>
    <xf numFmtId="0" fontId="19" fillId="8" borderId="10" xfId="0" applyFont="1" applyFill="1" applyBorder="1"/>
    <xf numFmtId="0" fontId="16" fillId="4" borderId="18" xfId="0" applyFont="1" applyFill="1" applyBorder="1"/>
    <xf numFmtId="0" fontId="19" fillId="4" borderId="19" xfId="0" applyFont="1" applyFill="1" applyBorder="1"/>
    <xf numFmtId="0" fontId="19" fillId="4" borderId="20" xfId="0" applyFont="1" applyFill="1" applyBorder="1"/>
    <xf numFmtId="0" fontId="0" fillId="4" borderId="21" xfId="0" applyFill="1" applyBorder="1"/>
    <xf numFmtId="10" fontId="21" fillId="4" borderId="21" xfId="0" applyNumberFormat="1" applyFont="1" applyFill="1" applyBorder="1"/>
    <xf numFmtId="0" fontId="0" fillId="4" borderId="23" xfId="0" applyFill="1" applyBorder="1"/>
    <xf numFmtId="0" fontId="2" fillId="4" borderId="17" xfId="0" applyFont="1" applyFill="1" applyBorder="1"/>
    <xf numFmtId="0" fontId="12" fillId="7" borderId="8" xfId="0" applyFont="1" applyFill="1" applyBorder="1"/>
    <xf numFmtId="0" fontId="44" fillId="9" borderId="7" xfId="0" applyFont="1" applyFill="1" applyBorder="1"/>
    <xf numFmtId="0" fontId="0" fillId="2" borderId="33" xfId="0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2" xfId="0" applyFont="1" applyBorder="1" applyAlignment="1">
      <alignment horizontal="center"/>
    </xf>
    <xf numFmtId="0" fontId="4" fillId="5" borderId="21" xfId="0" applyFont="1" applyFill="1" applyBorder="1" applyAlignment="1">
      <alignment wrapText="1"/>
    </xf>
    <xf numFmtId="164" fontId="0" fillId="4" borderId="0" xfId="0" applyNumberFormat="1" applyFill="1" applyAlignment="1">
      <alignment horizontal="center"/>
    </xf>
    <xf numFmtId="164" fontId="0" fillId="4" borderId="22" xfId="0" applyNumberFormat="1" applyFill="1" applyBorder="1" applyAlignment="1">
      <alignment horizontal="center"/>
    </xf>
    <xf numFmtId="0" fontId="0" fillId="3" borderId="21" xfId="0" applyFill="1" applyBorder="1"/>
    <xf numFmtId="164" fontId="1" fillId="3" borderId="0" xfId="0" applyNumberFormat="1" applyFont="1" applyFill="1"/>
    <xf numFmtId="164" fontId="1" fillId="3" borderId="22" xfId="0" applyNumberFormat="1" applyFont="1" applyFill="1" applyBorder="1"/>
    <xf numFmtId="164" fontId="0" fillId="4" borderId="0" xfId="0" applyNumberFormat="1" applyFill="1" applyAlignment="1">
      <alignment horizontal="center" vertical="center" wrapText="1"/>
    </xf>
    <xf numFmtId="164" fontId="0" fillId="4" borderId="22" xfId="0" applyNumberForma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164" fontId="0" fillId="3" borderId="22" xfId="0" applyNumberForma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vertical="center" wrapText="1"/>
    </xf>
    <xf numFmtId="164" fontId="0" fillId="3" borderId="22" xfId="0" applyNumberFormat="1" applyFill="1" applyBorder="1" applyAlignment="1">
      <alignment vertical="center" wrapText="1"/>
    </xf>
    <xf numFmtId="0" fontId="4" fillId="5" borderId="21" xfId="0" applyFont="1" applyFill="1" applyBorder="1" applyAlignment="1">
      <alignment vertical="center" wrapText="1"/>
    </xf>
    <xf numFmtId="0" fontId="0" fillId="3" borderId="21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9" fontId="0" fillId="3" borderId="0" xfId="0" applyNumberFormat="1" applyFill="1" applyAlignment="1">
      <alignment vertical="center" wrapText="1"/>
    </xf>
    <xf numFmtId="10" fontId="0" fillId="3" borderId="22" xfId="0" applyNumberFormat="1" applyFill="1" applyBorder="1" applyAlignment="1">
      <alignment vertical="center" wrapText="1"/>
    </xf>
    <xf numFmtId="0" fontId="0" fillId="3" borderId="22" xfId="0" applyFill="1" applyBorder="1" applyAlignment="1">
      <alignment vertical="center" wrapText="1"/>
    </xf>
    <xf numFmtId="0" fontId="15" fillId="5" borderId="23" xfId="0" applyFont="1" applyFill="1" applyBorder="1" applyAlignment="1">
      <alignment vertical="center" wrapText="1"/>
    </xf>
    <xf numFmtId="165" fontId="1" fillId="4" borderId="24" xfId="0" applyNumberFormat="1" applyFont="1" applyFill="1" applyBorder="1" applyAlignment="1">
      <alignment horizontal="center" vertical="center" wrapText="1"/>
    </xf>
    <xf numFmtId="164" fontId="1" fillId="4" borderId="24" xfId="0" applyNumberFormat="1" applyFont="1" applyFill="1" applyBorder="1" applyAlignment="1">
      <alignment horizontal="center" vertical="center" wrapText="1"/>
    </xf>
    <xf numFmtId="164" fontId="1" fillId="4" borderId="25" xfId="0" applyNumberFormat="1" applyFont="1" applyFill="1" applyBorder="1" applyAlignment="1">
      <alignment horizontal="center" vertical="center" wrapText="1"/>
    </xf>
    <xf numFmtId="0" fontId="2" fillId="2" borderId="33" xfId="0" applyFont="1" applyFill="1" applyBorder="1"/>
    <xf numFmtId="0" fontId="2" fillId="2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1" fillId="0" borderId="21" xfId="0" applyFont="1" applyBorder="1"/>
    <xf numFmtId="0" fontId="4" fillId="6" borderId="21" xfId="0" applyFont="1" applyFill="1" applyBorder="1"/>
    <xf numFmtId="0" fontId="4" fillId="0" borderId="21" xfId="0" applyFont="1" applyBorder="1"/>
    <xf numFmtId="0" fontId="0" fillId="0" borderId="22" xfId="0" applyBorder="1" applyAlignment="1">
      <alignment horizontal="center"/>
    </xf>
    <xf numFmtId="10" fontId="0" fillId="4" borderId="0" xfId="0" applyNumberFormat="1" applyFill="1" applyAlignment="1">
      <alignment horizontal="center"/>
    </xf>
    <xf numFmtId="10" fontId="0" fillId="4" borderId="22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2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9" fontId="0" fillId="4" borderId="0" xfId="0" applyNumberFormat="1" applyFill="1" applyAlignment="1">
      <alignment horizontal="center"/>
    </xf>
    <xf numFmtId="9" fontId="0" fillId="4" borderId="22" xfId="0" applyNumberFormat="1" applyFill="1" applyBorder="1" applyAlignment="1">
      <alignment horizontal="center"/>
    </xf>
    <xf numFmtId="44" fontId="0" fillId="4" borderId="0" xfId="0" applyNumberFormat="1" applyFill="1" applyAlignment="1">
      <alignment horizontal="center"/>
    </xf>
    <xf numFmtId="9" fontId="0" fillId="0" borderId="22" xfId="0" applyNumberFormat="1" applyBorder="1" applyAlignment="1">
      <alignment horizontal="center"/>
    </xf>
    <xf numFmtId="0" fontId="4" fillId="6" borderId="23" xfId="0" applyFont="1" applyFill="1" applyBorder="1"/>
    <xf numFmtId="164" fontId="0" fillId="4" borderId="24" xfId="0" applyNumberFormat="1" applyFill="1" applyBorder="1" applyAlignment="1">
      <alignment horizontal="center"/>
    </xf>
    <xf numFmtId="164" fontId="0" fillId="4" borderId="25" xfId="0" applyNumberFormat="1" applyFill="1" applyBorder="1" applyAlignment="1">
      <alignment horizontal="center"/>
    </xf>
    <xf numFmtId="0" fontId="0" fillId="2" borderId="34" xfId="0" applyFill="1" applyBorder="1"/>
    <xf numFmtId="0" fontId="8" fillId="5" borderId="21" xfId="0" applyFont="1" applyFill="1" applyBorder="1"/>
    <xf numFmtId="0" fontId="0" fillId="5" borderId="0" xfId="0" applyFill="1"/>
    <xf numFmtId="0" fontId="9" fillId="5" borderId="0" xfId="0" applyFont="1" applyFill="1"/>
    <xf numFmtId="44" fontId="0" fillId="4" borderId="22" xfId="0" applyNumberForma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22" xfId="0" applyNumberFormat="1" applyBorder="1" applyAlignment="1">
      <alignment horizontal="center"/>
    </xf>
    <xf numFmtId="0" fontId="10" fillId="5" borderId="0" xfId="0" applyFont="1" applyFill="1"/>
    <xf numFmtId="0" fontId="8" fillId="3" borderId="21" xfId="0" applyFont="1" applyFill="1" applyBorder="1"/>
    <xf numFmtId="0" fontId="10" fillId="3" borderId="0" xfId="0" applyFont="1" applyFill="1"/>
    <xf numFmtId="164" fontId="0" fillId="3" borderId="50" xfId="0" applyNumberFormat="1" applyFill="1" applyBorder="1" applyAlignment="1">
      <alignment horizontal="center"/>
    </xf>
    <xf numFmtId="0" fontId="8" fillId="5" borderId="23" xfId="0" applyFont="1" applyFill="1" applyBorder="1"/>
    <xf numFmtId="0" fontId="10" fillId="5" borderId="24" xfId="0" applyFont="1" applyFill="1" applyBorder="1"/>
    <xf numFmtId="0" fontId="2" fillId="2" borderId="51" xfId="0" applyFont="1" applyFill="1" applyBorder="1"/>
    <xf numFmtId="0" fontId="0" fillId="2" borderId="52" xfId="0" applyFill="1" applyBorder="1"/>
    <xf numFmtId="0" fontId="0" fillId="2" borderId="53" xfId="0" applyFill="1" applyBorder="1"/>
    <xf numFmtId="0" fontId="4" fillId="6" borderId="0" xfId="0" applyFont="1" applyFill="1"/>
    <xf numFmtId="0" fontId="4" fillId="3" borderId="21" xfId="0" applyFont="1" applyFill="1" applyBorder="1"/>
    <xf numFmtId="0" fontId="0" fillId="3" borderId="22" xfId="0" applyFill="1" applyBorder="1" applyAlignment="1">
      <alignment horizontal="center"/>
    </xf>
    <xf numFmtId="0" fontId="4" fillId="6" borderId="24" xfId="0" applyFont="1" applyFill="1" applyBorder="1"/>
    <xf numFmtId="10" fontId="0" fillId="4" borderId="25" xfId="0" applyNumberFormat="1" applyFill="1" applyBorder="1" applyAlignment="1">
      <alignment horizontal="center"/>
    </xf>
    <xf numFmtId="0" fontId="5" fillId="4" borderId="28" xfId="0" applyFont="1" applyFill="1" applyBorder="1"/>
    <xf numFmtId="0" fontId="7" fillId="4" borderId="19" xfId="0" applyFont="1" applyFill="1" applyBorder="1"/>
    <xf numFmtId="0" fontId="6" fillId="4" borderId="32" xfId="0" applyFont="1" applyFill="1" applyBorder="1"/>
    <xf numFmtId="0" fontId="5" fillId="4" borderId="32" xfId="0" applyFont="1" applyFill="1" applyBorder="1"/>
    <xf numFmtId="0" fontId="7" fillId="4" borderId="0" xfId="0" applyFont="1" applyFill="1"/>
    <xf numFmtId="0" fontId="27" fillId="4" borderId="31" xfId="0" applyFont="1" applyFill="1" applyBorder="1"/>
    <xf numFmtId="0" fontId="7" fillId="4" borderId="24" xfId="0" applyFont="1" applyFill="1" applyBorder="1"/>
    <xf numFmtId="0" fontId="29" fillId="17" borderId="28" xfId="0" applyFont="1" applyFill="1" applyBorder="1"/>
    <xf numFmtId="0" fontId="4" fillId="17" borderId="19" xfId="0" applyFont="1" applyFill="1" applyBorder="1" applyAlignment="1">
      <alignment horizontal="left"/>
    </xf>
    <xf numFmtId="0" fontId="0" fillId="17" borderId="19" xfId="0" applyFill="1" applyBorder="1" applyAlignment="1">
      <alignment horizontal="left"/>
    </xf>
    <xf numFmtId="0" fontId="0" fillId="17" borderId="20" xfId="0" applyFill="1" applyBorder="1" applyAlignment="1">
      <alignment horizontal="left"/>
    </xf>
    <xf numFmtId="0" fontId="28" fillId="17" borderId="29" xfId="0" applyFont="1" applyFill="1" applyBorder="1"/>
    <xf numFmtId="0" fontId="4" fillId="17" borderId="4" xfId="0" applyFont="1" applyFill="1" applyBorder="1" applyAlignment="1">
      <alignment horizontal="left"/>
    </xf>
    <xf numFmtId="0" fontId="0" fillId="17" borderId="4" xfId="0" applyFill="1" applyBorder="1" applyAlignment="1">
      <alignment horizontal="left"/>
    </xf>
    <xf numFmtId="0" fontId="0" fillId="17" borderId="26" xfId="0" applyFill="1" applyBorder="1" applyAlignment="1">
      <alignment horizontal="left"/>
    </xf>
    <xf numFmtId="0" fontId="29" fillId="17" borderId="30" xfId="0" applyFont="1" applyFill="1" applyBorder="1"/>
    <xf numFmtId="0" fontId="4" fillId="17" borderId="15" xfId="0" applyFont="1" applyFill="1" applyBorder="1" applyAlignment="1">
      <alignment horizontal="left"/>
    </xf>
    <xf numFmtId="0" fontId="0" fillId="17" borderId="15" xfId="0" applyFill="1" applyBorder="1" applyAlignment="1">
      <alignment horizontal="left"/>
    </xf>
    <xf numFmtId="0" fontId="0" fillId="17" borderId="27" xfId="0" applyFill="1" applyBorder="1" applyAlignment="1">
      <alignment horizontal="left"/>
    </xf>
    <xf numFmtId="10" fontId="4" fillId="17" borderId="15" xfId="0" applyNumberFormat="1" applyFont="1" applyFill="1" applyBorder="1" applyAlignment="1">
      <alignment horizontal="left"/>
    </xf>
    <xf numFmtId="0" fontId="29" fillId="17" borderId="29" xfId="0" applyFont="1" applyFill="1" applyBorder="1"/>
    <xf numFmtId="10" fontId="1" fillId="17" borderId="4" xfId="0" applyNumberFormat="1" applyFont="1" applyFill="1" applyBorder="1" applyAlignment="1">
      <alignment horizontal="left"/>
    </xf>
    <xf numFmtId="0" fontId="29" fillId="17" borderId="31" xfId="0" applyFont="1" applyFill="1" applyBorder="1"/>
    <xf numFmtId="0" fontId="4" fillId="17" borderId="24" xfId="0" applyFont="1" applyFill="1" applyBorder="1" applyAlignment="1">
      <alignment horizontal="left"/>
    </xf>
    <xf numFmtId="0" fontId="0" fillId="17" borderId="24" xfId="0" applyFill="1" applyBorder="1" applyAlignment="1">
      <alignment horizontal="left"/>
    </xf>
    <xf numFmtId="0" fontId="0" fillId="17" borderId="25" xfId="0" applyFill="1" applyBorder="1" applyAlignment="1">
      <alignment horizontal="left"/>
    </xf>
    <xf numFmtId="0" fontId="22" fillId="0" borderId="18" xfId="0" applyFont="1" applyBorder="1"/>
    <xf numFmtId="0" fontId="28" fillId="7" borderId="43" xfId="0" applyFont="1" applyFill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28" fillId="7" borderId="43" xfId="0" applyFont="1" applyFill="1" applyBorder="1"/>
    <xf numFmtId="0" fontId="30" fillId="9" borderId="43" xfId="0" applyFont="1" applyFill="1" applyBorder="1"/>
    <xf numFmtId="0" fontId="0" fillId="0" borderId="18" xfId="0" applyBorder="1"/>
    <xf numFmtId="0" fontId="24" fillId="0" borderId="21" xfId="0" applyFont="1" applyBorder="1"/>
    <xf numFmtId="164" fontId="20" fillId="0" borderId="0" xfId="0" applyNumberFormat="1" applyFont="1" applyAlignment="1">
      <alignment horizontal="center"/>
    </xf>
    <xf numFmtId="0" fontId="20" fillId="0" borderId="0" xfId="0" applyFont="1"/>
    <xf numFmtId="0" fontId="0" fillId="0" borderId="0" xfId="0" applyAlignment="1">
      <alignment wrapText="1"/>
    </xf>
    <xf numFmtId="0" fontId="12" fillId="0" borderId="21" xfId="0" applyFont="1" applyBorder="1"/>
    <xf numFmtId="0" fontId="12" fillId="7" borderId="21" xfId="0" applyFont="1" applyFill="1" applyBorder="1"/>
    <xf numFmtId="0" fontId="1" fillId="0" borderId="0" xfId="0" applyFont="1" applyAlignment="1">
      <alignment horizontal="center"/>
    </xf>
    <xf numFmtId="0" fontId="2" fillId="2" borderId="43" xfId="0" applyFont="1" applyFill="1" applyBorder="1"/>
    <xf numFmtId="0" fontId="4" fillId="6" borderId="21" xfId="0" applyFont="1" applyFill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6" borderId="54" xfId="0" applyFont="1" applyFill="1" applyBorder="1"/>
    <xf numFmtId="0" fontId="4" fillId="6" borderId="55" xfId="0" applyFont="1" applyFill="1" applyBorder="1"/>
    <xf numFmtId="164" fontId="4" fillId="6" borderId="21" xfId="0" applyNumberFormat="1" applyFont="1" applyFill="1" applyBorder="1"/>
    <xf numFmtId="0" fontId="34" fillId="16" borderId="0" xfId="0" applyFont="1" applyFill="1" applyAlignment="1">
      <alignment horizontal="center"/>
    </xf>
    <xf numFmtId="0" fontId="2" fillId="12" borderId="18" xfId="0" applyFont="1" applyFill="1" applyBorder="1" applyAlignment="1">
      <alignment horizontal="center" vertical="center"/>
    </xf>
    <xf numFmtId="0" fontId="2" fillId="12" borderId="20" xfId="0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2" fillId="12" borderId="23" xfId="0" applyFont="1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/>
    </xf>
    <xf numFmtId="0" fontId="1" fillId="11" borderId="33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42" fillId="10" borderId="18" xfId="0" applyFont="1" applyFill="1" applyBorder="1" applyAlignment="1">
      <alignment horizontal="center" vertical="center"/>
    </xf>
    <xf numFmtId="0" fontId="42" fillId="10" borderId="19" xfId="0" applyFont="1" applyFill="1" applyBorder="1" applyAlignment="1">
      <alignment horizontal="center" vertical="center"/>
    </xf>
    <xf numFmtId="0" fontId="42" fillId="10" borderId="20" xfId="0" applyFont="1" applyFill="1" applyBorder="1" applyAlignment="1">
      <alignment horizontal="center" vertical="center"/>
    </xf>
    <xf numFmtId="0" fontId="42" fillId="10" borderId="23" xfId="0" applyFont="1" applyFill="1" applyBorder="1" applyAlignment="1">
      <alignment horizontal="center" vertical="center"/>
    </xf>
    <xf numFmtId="0" fontId="42" fillId="10" borderId="24" xfId="0" applyFont="1" applyFill="1" applyBorder="1" applyAlignment="1">
      <alignment horizontal="center" vertical="center"/>
    </xf>
    <xf numFmtId="0" fontId="42" fillId="10" borderId="25" xfId="0" applyFont="1" applyFill="1" applyBorder="1" applyAlignment="1">
      <alignment horizontal="center" vertical="center"/>
    </xf>
    <xf numFmtId="0" fontId="16" fillId="13" borderId="33" xfId="0" applyFont="1" applyFill="1" applyBorder="1" applyAlignment="1">
      <alignment horizontal="center"/>
    </xf>
    <xf numFmtId="0" fontId="16" fillId="13" borderId="34" xfId="0" applyFont="1" applyFill="1" applyBorder="1" applyAlignment="1">
      <alignment horizontal="center"/>
    </xf>
    <xf numFmtId="0" fontId="16" fillId="13" borderId="10" xfId="0" applyFont="1" applyFill="1" applyBorder="1" applyAlignment="1">
      <alignment horizontal="center"/>
    </xf>
    <xf numFmtId="164" fontId="1" fillId="11" borderId="33" xfId="0" applyNumberFormat="1" applyFont="1" applyFill="1" applyBorder="1" applyAlignment="1">
      <alignment horizontal="center"/>
    </xf>
    <xf numFmtId="164" fontId="1" fillId="11" borderId="10" xfId="0" applyNumberFormat="1" applyFont="1" applyFill="1" applyBorder="1" applyAlignment="1">
      <alignment horizontal="center"/>
    </xf>
    <xf numFmtId="10" fontId="1" fillId="11" borderId="33" xfId="0" applyNumberFormat="1" applyFont="1" applyFill="1" applyBorder="1" applyAlignment="1">
      <alignment horizontal="center"/>
    </xf>
    <xf numFmtId="10" fontId="1" fillId="11" borderId="10" xfId="0" applyNumberFormat="1" applyFont="1" applyFill="1" applyBorder="1" applyAlignment="1">
      <alignment horizontal="center"/>
    </xf>
    <xf numFmtId="0" fontId="1" fillId="6" borderId="23" xfId="0" applyFont="1" applyFill="1" applyBorder="1" applyAlignment="1">
      <alignment horizontal="left" vertical="center"/>
    </xf>
    <xf numFmtId="0" fontId="1" fillId="6" borderId="24" xfId="0" applyFont="1" applyFill="1" applyBorder="1" applyAlignment="1">
      <alignment horizontal="left" vertical="center"/>
    </xf>
    <xf numFmtId="0" fontId="41" fillId="15" borderId="18" xfId="0" applyFont="1" applyFill="1" applyBorder="1" applyAlignment="1">
      <alignment horizontal="center" vertical="center"/>
    </xf>
    <xf numFmtId="0" fontId="41" fillId="15" borderId="19" xfId="0" applyFont="1" applyFill="1" applyBorder="1" applyAlignment="1">
      <alignment horizontal="center" vertical="center"/>
    </xf>
    <xf numFmtId="0" fontId="41" fillId="15" borderId="20" xfId="0" applyFont="1" applyFill="1" applyBorder="1" applyAlignment="1">
      <alignment horizontal="center" vertical="center"/>
    </xf>
    <xf numFmtId="0" fontId="41" fillId="15" borderId="23" xfId="0" applyFont="1" applyFill="1" applyBorder="1" applyAlignment="1">
      <alignment horizontal="center" vertical="center"/>
    </xf>
    <xf numFmtId="0" fontId="41" fillId="15" borderId="24" xfId="0" applyFont="1" applyFill="1" applyBorder="1" applyAlignment="1">
      <alignment horizontal="center" vertical="center"/>
    </xf>
    <xf numFmtId="0" fontId="41" fillId="15" borderId="25" xfId="0" applyFont="1" applyFill="1" applyBorder="1" applyAlignment="1">
      <alignment horizontal="center" vertical="center"/>
    </xf>
    <xf numFmtId="0" fontId="1" fillId="12" borderId="44" xfId="0" applyFont="1" applyFill="1" applyBorder="1" applyAlignment="1">
      <alignment horizontal="center"/>
    </xf>
    <xf numFmtId="0" fontId="1" fillId="12" borderId="42" xfId="0" applyFont="1" applyFill="1" applyBorder="1" applyAlignment="1">
      <alignment horizontal="center"/>
    </xf>
    <xf numFmtId="0" fontId="1" fillId="12" borderId="43" xfId="0" applyFont="1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164" fontId="1" fillId="14" borderId="41" xfId="0" applyNumberFormat="1" applyFont="1" applyFill="1" applyBorder="1" applyAlignment="1">
      <alignment horizontal="center"/>
    </xf>
    <xf numFmtId="164" fontId="1" fillId="14" borderId="45" xfId="0" applyNumberFormat="1" applyFont="1" applyFill="1" applyBorder="1" applyAlignment="1">
      <alignment horizontal="center"/>
    </xf>
    <xf numFmtId="164" fontId="1" fillId="14" borderId="8" xfId="0" applyNumberFormat="1" applyFont="1" applyFill="1" applyBorder="1" applyAlignment="1">
      <alignment horizontal="center"/>
    </xf>
    <xf numFmtId="164" fontId="1" fillId="14" borderId="46" xfId="0" applyNumberFormat="1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3" fillId="7" borderId="6" xfId="0" applyFont="1" applyFill="1" applyBorder="1"/>
    <xf numFmtId="0" fontId="1" fillId="4" borderId="12" xfId="0" applyFont="1" applyFill="1" applyBorder="1"/>
    <xf numFmtId="164" fontId="1" fillId="4" borderId="56" xfId="0" applyNumberFormat="1" applyFont="1" applyFill="1" applyBorder="1" applyAlignment="1">
      <alignment horizontal="center"/>
    </xf>
    <xf numFmtId="164" fontId="1" fillId="4" borderId="57" xfId="0" applyNumberFormat="1" applyFont="1" applyFill="1" applyBorder="1" applyAlignment="1">
      <alignment horizontal="center"/>
    </xf>
    <xf numFmtId="0" fontId="1" fillId="4" borderId="56" xfId="0" applyFont="1" applyFill="1" applyBorder="1" applyAlignment="1">
      <alignment horizontal="center"/>
    </xf>
    <xf numFmtId="0" fontId="1" fillId="4" borderId="57" xfId="0" applyFont="1" applyFill="1" applyBorder="1" applyAlignment="1">
      <alignment horizontal="center"/>
    </xf>
    <xf numFmtId="0" fontId="2" fillId="6" borderId="12" xfId="0" applyFont="1" applyFill="1" applyBorder="1"/>
    <xf numFmtId="0" fontId="0" fillId="0" borderId="0" xfId="0" applyBorder="1"/>
    <xf numFmtId="0" fontId="0" fillId="6" borderId="18" xfId="0" applyFill="1" applyBorder="1"/>
    <xf numFmtId="0" fontId="0" fillId="6" borderId="21" xfId="0" applyFill="1" applyBorder="1"/>
    <xf numFmtId="0" fontId="1" fillId="6" borderId="23" xfId="0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10" fontId="0" fillId="0" borderId="0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0F779"/>
      <color rgb="FFFFFFFF"/>
      <color rgb="FFFF0D0D"/>
      <color rgb="FF2F527D"/>
      <color rgb="FF28466A"/>
      <color rgb="FF144776"/>
      <color rgb="FF113F69"/>
      <color rgb="FF103A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Projected FCFF (Cr. Rs.)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88648293963258"/>
          <c:y val="0.20050925925925925"/>
          <c:w val="0.82133573928258963"/>
          <c:h val="0.71523950131233593"/>
        </c:manualLayout>
      </c:layout>
      <c:lineChart>
        <c:grouping val="standard"/>
        <c:varyColors val="0"/>
        <c:ser>
          <c:idx val="0"/>
          <c:order val="0"/>
          <c:tx>
            <c:strRef>
              <c:f>'Dashboard '!$F$13</c:f>
              <c:strCache>
                <c:ptCount val="1"/>
                <c:pt idx="0">
                  <c:v>FCFF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7.981955380577431E-2"/>
                  <c:y val="-9.72222222222222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BC-4B6F-926A-F642164BEFD8}"/>
                </c:ext>
              </c:extLst>
            </c:dLbl>
            <c:dLbl>
              <c:idx val="1"/>
              <c:layout>
                <c:manualLayout>
                  <c:x val="-0.10204177602799649"/>
                  <c:y val="-8.79629629629630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BC-4B6F-926A-F642164BEFD8}"/>
                </c:ext>
              </c:extLst>
            </c:dLbl>
            <c:dLbl>
              <c:idx val="2"/>
              <c:layout>
                <c:manualLayout>
                  <c:x val="-0.12426399825021872"/>
                  <c:y val="-7.87037037037037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BC-4B6F-926A-F642164BEFD8}"/>
                </c:ext>
              </c:extLst>
            </c:dLbl>
            <c:dLbl>
              <c:idx val="3"/>
              <c:layout>
                <c:manualLayout>
                  <c:x val="-0.12426399825021872"/>
                  <c:y val="-7.40740740740741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BC-4B6F-926A-F642164BEFD8}"/>
                </c:ext>
              </c:extLst>
            </c:dLbl>
            <c:dLbl>
              <c:idx val="4"/>
              <c:layout>
                <c:manualLayout>
                  <c:x val="-9.8147637795275591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BC-4B6F-926A-F642164BEF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'!$E$14:$E$18</c:f>
              <c:strCache>
                <c:ptCount val="5"/>
                <c:pt idx="0">
                  <c:v>FY26</c:v>
                </c:pt>
                <c:pt idx="1">
                  <c:v>FY27</c:v>
                </c:pt>
                <c:pt idx="2">
                  <c:v>FY28</c:v>
                </c:pt>
                <c:pt idx="3">
                  <c:v>FY29</c:v>
                </c:pt>
                <c:pt idx="4">
                  <c:v>FY30</c:v>
                </c:pt>
              </c:strCache>
            </c:strRef>
          </c:cat>
          <c:val>
            <c:numRef>
              <c:f>'Dashboard '!$F$14:$F$18</c:f>
              <c:numCache>
                <c:formatCode>"₹"\ #,##0.00</c:formatCode>
                <c:ptCount val="5"/>
                <c:pt idx="0">
                  <c:v>3718.0439999999999</c:v>
                </c:pt>
                <c:pt idx="1">
                  <c:v>4387.2919199999997</c:v>
                </c:pt>
                <c:pt idx="2">
                  <c:v>5177.0044656000027</c:v>
                </c:pt>
                <c:pt idx="3">
                  <c:v>6108.8652694079974</c:v>
                </c:pt>
                <c:pt idx="4">
                  <c:v>7208.4610179014417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C-4B6F-926A-F642164BEF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26812528"/>
        <c:axId val="326816368"/>
      </c:lineChart>
      <c:catAx>
        <c:axId val="32681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16368"/>
        <c:crosses val="autoZero"/>
        <c:auto val="1"/>
        <c:lblAlgn val="ctr"/>
        <c:lblOffset val="100"/>
        <c:noMultiLvlLbl val="0"/>
      </c:catAx>
      <c:valAx>
        <c:axId val="326816368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1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 Price  VS  Intrinsic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'!$H$13</c:f>
              <c:strCache>
                <c:ptCount val="1"/>
                <c:pt idx="0">
                  <c:v>Market Price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solidFill>
                <a:schemeClr val="accent5">
                  <a:tint val="77000"/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5">
                  <a:tint val="77000"/>
                  <a:lumMod val="75000"/>
                </a:schemeClr>
              </a:contourClr>
            </a:sp3d>
          </c:spPr>
          <c:invertIfNegative val="0"/>
          <c:dLbls>
            <c:dLbl>
              <c:idx val="1"/>
              <c:layout>
                <c:manualLayout>
                  <c:x val="-7.4999999999999997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3B-4F24-98CE-5CEC197917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'Dashboard '!$I$13:$K$13</c:f>
              <c:numCache>
                <c:formatCode>"₹"\ #,##0.00</c:formatCode>
                <c:ptCount val="3"/>
                <c:pt idx="1">
                  <c:v>3850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B-4F24-98CE-5CEC197917CB}"/>
            </c:ext>
          </c:extLst>
        </c:ser>
        <c:ser>
          <c:idx val="1"/>
          <c:order val="1"/>
          <c:tx>
            <c:strRef>
              <c:f>'Dashboard '!$H$14</c:f>
              <c:strCache>
                <c:ptCount val="1"/>
                <c:pt idx="0">
                  <c:v>Intrinsic Value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solidFill>
                <a:schemeClr val="accent5">
                  <a:shade val="76000"/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5">
                  <a:shade val="76000"/>
                  <a:lumMod val="75000"/>
                </a:schemeClr>
              </a:contourClr>
            </a:sp3d>
          </c:spPr>
          <c:invertIfNegative val="0"/>
          <c:dLbls>
            <c:dLbl>
              <c:idx val="1"/>
              <c:layout>
                <c:manualLayout>
                  <c:x val="0.14166666666666677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3B-4F24-98CE-5CEC197917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'Dashboard '!$I$14:$K$14</c:f>
              <c:numCache>
                <c:formatCode>"₹"\ #,##0.00</c:formatCode>
                <c:ptCount val="3"/>
                <c:pt idx="1">
                  <c:v>894.72349775534417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3B-4F24-98CE-5CEC19791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3851760"/>
        <c:axId val="453846000"/>
        <c:axId val="0"/>
      </c:bar3DChart>
      <c:catAx>
        <c:axId val="453851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6000"/>
        <c:crosses val="autoZero"/>
        <c:auto val="1"/>
        <c:lblAlgn val="ctr"/>
        <c:lblOffset val="100"/>
        <c:noMultiLvlLbl val="0"/>
      </c:catAx>
      <c:valAx>
        <c:axId val="45384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5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18</xdr:row>
      <xdr:rowOff>150283</xdr:rowOff>
    </xdr:from>
    <xdr:to>
      <xdr:col>6</xdr:col>
      <xdr:colOff>571500</xdr:colOff>
      <xdr:row>33</xdr:row>
      <xdr:rowOff>150283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D5E30-21D7-AC49-031C-BA844E8D5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212148</xdr:colOff>
      <xdr:row>18</xdr:row>
      <xdr:rowOff>93710</xdr:rowOff>
    </xdr:from>
    <xdr:to>
      <xdr:col>12</xdr:col>
      <xdr:colOff>393989</xdr:colOff>
      <xdr:row>33</xdr:row>
      <xdr:rowOff>117955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409FDB-62B2-1A50-F5B3-9F11BFEE4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392D92-E36A-4716-B38B-A98108E0618B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="108" workbookViewId="0">
      <selection activeCell="O16" sqref="O16"/>
    </sheetView>
  </sheetViews>
  <sheetFormatPr defaultRowHeight="14.4" x14ac:dyDescent="0.3"/>
  <cols>
    <col min="1" max="1" width="28.21875" customWidth="1"/>
  </cols>
  <sheetData>
    <row r="1" spans="1:12" ht="15" thickBot="1" x14ac:dyDescent="0.35"/>
    <row r="2" spans="1:12" ht="17.399999999999999" x14ac:dyDescent="0.3">
      <c r="A2" s="246" t="s">
        <v>0</v>
      </c>
      <c r="B2" s="247" t="s">
        <v>1</v>
      </c>
      <c r="C2" s="156"/>
      <c r="D2" s="156"/>
      <c r="E2" s="156"/>
      <c r="F2" s="156"/>
      <c r="G2" s="156"/>
      <c r="H2" s="156"/>
      <c r="I2" s="156"/>
      <c r="J2" s="156"/>
      <c r="K2" s="133"/>
    </row>
    <row r="3" spans="1:12" x14ac:dyDescent="0.3">
      <c r="A3" s="248"/>
      <c r="B3" s="57"/>
      <c r="C3" s="57"/>
      <c r="D3" s="57"/>
      <c r="E3" s="57"/>
      <c r="F3" s="57"/>
      <c r="G3" s="57"/>
      <c r="H3" s="57"/>
      <c r="I3" s="57"/>
      <c r="J3" s="57"/>
      <c r="K3" s="157"/>
    </row>
    <row r="4" spans="1:12" ht="17.399999999999999" x14ac:dyDescent="0.3">
      <c r="A4" s="249" t="s">
        <v>120</v>
      </c>
      <c r="B4" s="250" t="s">
        <v>2</v>
      </c>
      <c r="C4" s="57"/>
      <c r="D4" s="57"/>
      <c r="E4" s="57"/>
      <c r="F4" s="57"/>
      <c r="G4" s="57"/>
      <c r="H4" s="57"/>
      <c r="I4" s="57"/>
      <c r="J4" s="57"/>
      <c r="K4" s="157"/>
    </row>
    <row r="5" spans="1:12" x14ac:dyDescent="0.3">
      <c r="A5" s="248"/>
      <c r="B5" s="57"/>
      <c r="C5" s="57"/>
      <c r="D5" s="57"/>
      <c r="E5" s="57"/>
      <c r="F5" s="57"/>
      <c r="G5" s="57"/>
      <c r="H5" s="57"/>
      <c r="I5" s="57"/>
      <c r="J5" s="57"/>
      <c r="K5" s="157"/>
    </row>
    <row r="6" spans="1:12" ht="18.600000000000001" thickBot="1" x14ac:dyDescent="0.4">
      <c r="A6" s="251" t="s">
        <v>121</v>
      </c>
      <c r="B6" s="252" t="s">
        <v>3</v>
      </c>
      <c r="C6" s="158"/>
      <c r="D6" s="158"/>
      <c r="E6" s="158"/>
      <c r="F6" s="158"/>
      <c r="G6" s="158"/>
      <c r="H6" s="158"/>
      <c r="I6" s="158"/>
      <c r="J6" s="158"/>
      <c r="K6" s="136"/>
    </row>
    <row r="7" spans="1:12" ht="15" thickBot="1" x14ac:dyDescent="0.35">
      <c r="B7" s="2"/>
    </row>
    <row r="8" spans="1:12" ht="18" x14ac:dyDescent="0.35">
      <c r="A8" s="253" t="s">
        <v>123</v>
      </c>
      <c r="B8" s="254" t="s">
        <v>118</v>
      </c>
      <c r="C8" s="255"/>
      <c r="D8" s="255"/>
      <c r="E8" s="255"/>
      <c r="F8" s="255"/>
      <c r="G8" s="255"/>
      <c r="H8" s="255"/>
      <c r="I8" s="255"/>
      <c r="J8" s="255"/>
      <c r="K8" s="256"/>
      <c r="L8" s="56"/>
    </row>
    <row r="9" spans="1:12" ht="17.399999999999999" x14ac:dyDescent="0.3">
      <c r="A9" s="257"/>
      <c r="B9" s="258"/>
      <c r="C9" s="259"/>
      <c r="D9" s="259"/>
      <c r="E9" s="259"/>
      <c r="F9" s="259"/>
      <c r="G9" s="259"/>
      <c r="H9" s="259"/>
      <c r="I9" s="259"/>
      <c r="J9" s="259"/>
      <c r="K9" s="260"/>
      <c r="L9" s="56"/>
    </row>
    <row r="10" spans="1:12" ht="18" x14ac:dyDescent="0.35">
      <c r="A10" s="261" t="s">
        <v>124</v>
      </c>
      <c r="B10" s="262" t="s">
        <v>119</v>
      </c>
      <c r="C10" s="263"/>
      <c r="D10" s="263"/>
      <c r="E10" s="263"/>
      <c r="F10" s="263"/>
      <c r="G10" s="263"/>
      <c r="H10" s="263"/>
      <c r="I10" s="263"/>
      <c r="J10" s="263"/>
      <c r="K10" s="264"/>
      <c r="L10" s="56"/>
    </row>
    <row r="11" spans="1:12" ht="17.399999999999999" x14ac:dyDescent="0.3">
      <c r="A11" s="257"/>
      <c r="B11" s="258"/>
      <c r="C11" s="259"/>
      <c r="D11" s="259"/>
      <c r="E11" s="259"/>
      <c r="F11" s="259"/>
      <c r="G11" s="259"/>
      <c r="H11" s="259"/>
      <c r="I11" s="259"/>
      <c r="J11" s="259"/>
      <c r="K11" s="260"/>
      <c r="L11" s="56"/>
    </row>
    <row r="12" spans="1:12" ht="18" x14ac:dyDescent="0.35">
      <c r="A12" s="261" t="s">
        <v>125</v>
      </c>
      <c r="B12" s="265">
        <v>0.04</v>
      </c>
      <c r="C12" s="263"/>
      <c r="D12" s="263"/>
      <c r="E12" s="263"/>
      <c r="F12" s="263"/>
      <c r="G12" s="263"/>
      <c r="H12" s="263"/>
      <c r="I12" s="263"/>
      <c r="J12" s="263"/>
      <c r="K12" s="264"/>
      <c r="L12" s="56"/>
    </row>
    <row r="13" spans="1:12" ht="18" x14ac:dyDescent="0.35">
      <c r="A13" s="266"/>
      <c r="B13" s="267"/>
      <c r="C13" s="259"/>
      <c r="D13" s="259"/>
      <c r="E13" s="259"/>
      <c r="F13" s="259"/>
      <c r="G13" s="259"/>
      <c r="H13" s="259"/>
      <c r="I13" s="259"/>
      <c r="J13" s="259"/>
      <c r="K13" s="260"/>
      <c r="L13" s="56"/>
    </row>
    <row r="14" spans="1:12" ht="18" x14ac:dyDescent="0.35">
      <c r="A14" s="261" t="s">
        <v>122</v>
      </c>
      <c r="B14" s="265">
        <v>9.9400000000000002E-2</v>
      </c>
      <c r="C14" s="263"/>
      <c r="D14" s="263"/>
      <c r="E14" s="263"/>
      <c r="F14" s="263"/>
      <c r="G14" s="263"/>
      <c r="H14" s="263"/>
      <c r="I14" s="263"/>
      <c r="J14" s="263"/>
      <c r="K14" s="264"/>
      <c r="L14" s="56"/>
    </row>
    <row r="15" spans="1:12" ht="18" x14ac:dyDescent="0.35">
      <c r="A15" s="266"/>
      <c r="B15" s="259"/>
      <c r="C15" s="259"/>
      <c r="D15" s="259"/>
      <c r="E15" s="259"/>
      <c r="F15" s="259"/>
      <c r="G15" s="259"/>
      <c r="H15" s="259"/>
      <c r="I15" s="259"/>
      <c r="J15" s="259"/>
      <c r="K15" s="260"/>
      <c r="L15" s="56"/>
    </row>
    <row r="16" spans="1:12" ht="18.600000000000001" thickBot="1" x14ac:dyDescent="0.4">
      <c r="A16" s="268" t="s">
        <v>126</v>
      </c>
      <c r="B16" s="269" t="s">
        <v>127</v>
      </c>
      <c r="C16" s="270"/>
      <c r="D16" s="270"/>
      <c r="E16" s="270"/>
      <c r="F16" s="270"/>
      <c r="G16" s="270"/>
      <c r="H16" s="270"/>
      <c r="I16" s="270"/>
      <c r="J16" s="270"/>
      <c r="K16" s="271"/>
      <c r="L16" s="5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zoomScale="88" zoomScaleNormal="99" workbookViewId="0">
      <selection activeCell="E7" sqref="E7"/>
    </sheetView>
  </sheetViews>
  <sheetFormatPr defaultRowHeight="14.4" x14ac:dyDescent="0.3"/>
  <sheetData>
    <row r="1" spans="1:6" ht="22.8" x14ac:dyDescent="0.4">
      <c r="A1" s="67" t="s">
        <v>4</v>
      </c>
      <c r="B1" s="5"/>
      <c r="C1" s="5"/>
    </row>
    <row r="2" spans="1:6" ht="15" thickBot="1" x14ac:dyDescent="0.35"/>
    <row r="3" spans="1:6" ht="16.2" thickBot="1" x14ac:dyDescent="0.35">
      <c r="A3" s="238" t="s">
        <v>5</v>
      </c>
      <c r="B3" s="239"/>
      <c r="C3" s="240"/>
      <c r="D3" s="225"/>
      <c r="E3" s="179" t="s">
        <v>6</v>
      </c>
    </row>
    <row r="4" spans="1:6" x14ac:dyDescent="0.3">
      <c r="A4" s="112"/>
      <c r="E4" s="111"/>
    </row>
    <row r="5" spans="1:6" x14ac:dyDescent="0.3">
      <c r="A5" s="210" t="s">
        <v>47</v>
      </c>
      <c r="B5" s="241"/>
      <c r="C5" s="241"/>
      <c r="D5" s="92"/>
      <c r="E5" s="219">
        <v>0.18</v>
      </c>
    </row>
    <row r="6" spans="1:6" x14ac:dyDescent="0.3">
      <c r="A6" s="242"/>
      <c r="B6" s="18"/>
      <c r="C6" s="18"/>
      <c r="E6" s="243"/>
    </row>
    <row r="7" spans="1:6" x14ac:dyDescent="0.3">
      <c r="A7" s="210" t="s">
        <v>7</v>
      </c>
      <c r="B7" s="241"/>
      <c r="C7" s="241"/>
      <c r="D7" s="92"/>
      <c r="E7" s="214">
        <v>0.13</v>
      </c>
    </row>
    <row r="8" spans="1:6" ht="15" thickBot="1" x14ac:dyDescent="0.35">
      <c r="A8" s="242"/>
      <c r="B8" s="18"/>
      <c r="C8" s="18"/>
      <c r="E8" s="243"/>
    </row>
    <row r="9" spans="1:6" ht="15" thickBot="1" x14ac:dyDescent="0.35">
      <c r="A9" s="210" t="s">
        <v>48</v>
      </c>
      <c r="B9" s="241"/>
      <c r="C9" s="241"/>
      <c r="D9" s="92"/>
      <c r="E9" s="219">
        <v>2.5000000000000001E-2</v>
      </c>
      <c r="F9" s="17"/>
    </row>
    <row r="10" spans="1:6" x14ac:dyDescent="0.3">
      <c r="A10" s="242"/>
      <c r="B10" s="18"/>
      <c r="C10" s="18"/>
      <c r="E10" s="243"/>
    </row>
    <row r="11" spans="1:6" x14ac:dyDescent="0.3">
      <c r="A11" s="210" t="s">
        <v>49</v>
      </c>
      <c r="B11" s="241"/>
      <c r="C11" s="241"/>
      <c r="D11" s="92"/>
      <c r="E11" s="219">
        <v>3.2000000000000001E-2</v>
      </c>
    </row>
    <row r="12" spans="1:6" x14ac:dyDescent="0.3">
      <c r="A12" s="242"/>
      <c r="B12" s="18"/>
      <c r="C12" s="18"/>
      <c r="E12" s="243"/>
    </row>
    <row r="13" spans="1:6" x14ac:dyDescent="0.3">
      <c r="A13" s="210" t="s">
        <v>50</v>
      </c>
      <c r="B13" s="241"/>
      <c r="C13" s="241"/>
      <c r="D13" s="92"/>
      <c r="E13" s="219">
        <v>0.25</v>
      </c>
    </row>
    <row r="14" spans="1:6" s="11" customFormat="1" x14ac:dyDescent="0.3">
      <c r="A14" s="242"/>
      <c r="B14" s="18"/>
      <c r="C14" s="18"/>
      <c r="E14" s="243"/>
    </row>
    <row r="15" spans="1:6" x14ac:dyDescent="0.3">
      <c r="A15" s="210" t="s">
        <v>33</v>
      </c>
      <c r="B15" s="241"/>
      <c r="C15" s="241"/>
      <c r="D15" s="92"/>
      <c r="E15" s="214">
        <v>0.15</v>
      </c>
    </row>
    <row r="16" spans="1:6" x14ac:dyDescent="0.3">
      <c r="A16" s="242"/>
      <c r="B16" s="18"/>
      <c r="C16" s="18"/>
      <c r="E16" s="243"/>
    </row>
    <row r="17" spans="1:5" x14ac:dyDescent="0.3">
      <c r="A17" s="210" t="s">
        <v>51</v>
      </c>
      <c r="B17" s="241"/>
      <c r="C17" s="241"/>
      <c r="D17" s="92"/>
      <c r="E17" s="219">
        <v>0.04</v>
      </c>
    </row>
    <row r="18" spans="1:5" x14ac:dyDescent="0.3">
      <c r="A18" s="242"/>
      <c r="B18" s="18"/>
      <c r="C18" s="18"/>
      <c r="E18" s="243"/>
    </row>
    <row r="19" spans="1:5" ht="15" thickBot="1" x14ac:dyDescent="0.35">
      <c r="A19" s="222" t="s">
        <v>12</v>
      </c>
      <c r="B19" s="244"/>
      <c r="C19" s="244"/>
      <c r="D19" s="93"/>
      <c r="E19" s="245">
        <v>0.105</v>
      </c>
    </row>
    <row r="20" spans="1:5" x14ac:dyDescent="0.3">
      <c r="A20" s="11"/>
      <c r="B20" s="18"/>
      <c r="C20" s="18"/>
      <c r="E20" s="14"/>
    </row>
    <row r="28" spans="1:5" x14ac:dyDescent="0.3">
      <c r="E28" s="9"/>
    </row>
  </sheetData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zoomScaleNormal="100" workbookViewId="0">
      <selection activeCell="A3" sqref="A3"/>
    </sheetView>
  </sheetViews>
  <sheetFormatPr defaultRowHeight="14.4" x14ac:dyDescent="0.3"/>
  <cols>
    <col min="3" max="6" width="10.44140625" bestFit="1" customWidth="1"/>
  </cols>
  <sheetData>
    <row r="1" spans="1:8" ht="22.8" x14ac:dyDescent="0.4">
      <c r="A1" s="38" t="s">
        <v>13</v>
      </c>
      <c r="B1" s="7"/>
      <c r="C1" s="7"/>
      <c r="D1" s="8"/>
    </row>
    <row r="2" spans="1:8" ht="15" thickBot="1" x14ac:dyDescent="0.35"/>
    <row r="3" spans="1:8" ht="16.2" thickBot="1" x14ac:dyDescent="0.35">
      <c r="A3" s="206" t="s">
        <v>14</v>
      </c>
      <c r="B3" s="225"/>
      <c r="C3" s="178" t="s">
        <v>19</v>
      </c>
      <c r="D3" s="178" t="s">
        <v>15</v>
      </c>
      <c r="E3" s="178" t="s">
        <v>16</v>
      </c>
      <c r="F3" s="179" t="s">
        <v>17</v>
      </c>
      <c r="H3" s="1" t="s">
        <v>26</v>
      </c>
    </row>
    <row r="4" spans="1:8" x14ac:dyDescent="0.3">
      <c r="A4" s="112"/>
      <c r="F4" s="111"/>
    </row>
    <row r="5" spans="1:8" x14ac:dyDescent="0.3">
      <c r="A5" s="226" t="s">
        <v>20</v>
      </c>
      <c r="B5" s="227"/>
      <c r="C5" s="183">
        <v>28799</v>
      </c>
      <c r="D5" s="183">
        <v>40575</v>
      </c>
      <c r="E5" s="183">
        <v>51084</v>
      </c>
      <c r="F5" s="184">
        <v>60456</v>
      </c>
    </row>
    <row r="6" spans="1:8" x14ac:dyDescent="0.3">
      <c r="A6" s="112"/>
      <c r="C6" s="9"/>
      <c r="D6" s="9"/>
      <c r="E6" s="9"/>
      <c r="F6" s="212"/>
    </row>
    <row r="7" spans="1:8" x14ac:dyDescent="0.3">
      <c r="A7" s="226" t="s">
        <v>21</v>
      </c>
      <c r="B7" s="228" t="s">
        <v>27</v>
      </c>
      <c r="C7" s="220">
        <v>3450</v>
      </c>
      <c r="D7" s="220">
        <v>5300</v>
      </c>
      <c r="E7" s="220">
        <v>6300</v>
      </c>
      <c r="F7" s="229">
        <v>7200</v>
      </c>
    </row>
    <row r="8" spans="1:8" x14ac:dyDescent="0.3">
      <c r="A8" s="112"/>
      <c r="C8" s="230"/>
      <c r="D8" s="230"/>
      <c r="E8" s="230"/>
      <c r="F8" s="231"/>
    </row>
    <row r="9" spans="1:8" x14ac:dyDescent="0.3">
      <c r="A9" s="226" t="s">
        <v>22</v>
      </c>
      <c r="B9" s="228" t="s">
        <v>27</v>
      </c>
      <c r="C9" s="220">
        <v>2900</v>
      </c>
      <c r="D9" s="220">
        <v>4600</v>
      </c>
      <c r="E9" s="220">
        <v>5600</v>
      </c>
      <c r="F9" s="229">
        <v>6400</v>
      </c>
    </row>
    <row r="10" spans="1:8" x14ac:dyDescent="0.3">
      <c r="A10" s="112"/>
      <c r="C10" s="9"/>
      <c r="D10" s="9"/>
      <c r="E10" s="9"/>
      <c r="F10" s="212"/>
    </row>
    <row r="11" spans="1:8" x14ac:dyDescent="0.3">
      <c r="A11" s="226" t="s">
        <v>23</v>
      </c>
      <c r="B11" s="227"/>
      <c r="C11" s="183">
        <v>784</v>
      </c>
      <c r="D11" s="183">
        <v>1010</v>
      </c>
      <c r="E11" s="183">
        <v>1276</v>
      </c>
      <c r="F11" s="184">
        <v>1340</v>
      </c>
    </row>
    <row r="12" spans="1:8" x14ac:dyDescent="0.3">
      <c r="A12" s="112"/>
      <c r="C12" s="9"/>
      <c r="D12" s="9"/>
      <c r="E12" s="9"/>
      <c r="F12" s="212"/>
    </row>
    <row r="13" spans="1:8" x14ac:dyDescent="0.3">
      <c r="A13" s="226" t="s">
        <v>24</v>
      </c>
      <c r="B13" s="227"/>
      <c r="C13" s="142">
        <v>500</v>
      </c>
      <c r="D13" s="142">
        <v>650</v>
      </c>
      <c r="E13" s="142">
        <v>700</v>
      </c>
      <c r="F13" s="143">
        <v>780</v>
      </c>
    </row>
    <row r="14" spans="1:8" x14ac:dyDescent="0.3">
      <c r="A14" s="112"/>
      <c r="C14" s="9"/>
      <c r="D14" s="9"/>
      <c r="E14" s="9"/>
      <c r="F14" s="212"/>
    </row>
    <row r="15" spans="1:8" x14ac:dyDescent="0.3">
      <c r="A15" s="226" t="s">
        <v>25</v>
      </c>
      <c r="B15" s="232"/>
      <c r="C15" s="183">
        <v>-1120</v>
      </c>
      <c r="D15" s="183">
        <v>-1450</v>
      </c>
      <c r="E15" s="183">
        <v>-1780</v>
      </c>
      <c r="F15" s="184">
        <v>-2050</v>
      </c>
    </row>
    <row r="16" spans="1:8" x14ac:dyDescent="0.3">
      <c r="A16" s="233"/>
      <c r="B16" s="234"/>
      <c r="C16" s="21"/>
      <c r="D16" s="20"/>
      <c r="E16" s="20"/>
      <c r="F16" s="235"/>
    </row>
    <row r="17" spans="1:6" ht="15" thickBot="1" x14ac:dyDescent="0.35">
      <c r="A17" s="236" t="s">
        <v>52</v>
      </c>
      <c r="B17" s="237"/>
      <c r="C17" s="223">
        <f>C5*Assumptions!E15</f>
        <v>4319.8499999999995</v>
      </c>
      <c r="D17" s="223">
        <f>D5*Assumptions!E15</f>
        <v>6086.25</v>
      </c>
      <c r="E17" s="223">
        <f>E5*Assumptions!E15</f>
        <v>7662.5999999999995</v>
      </c>
      <c r="F17" s="224">
        <f>F5*Assumptions!E15</f>
        <v>9068.4</v>
      </c>
    </row>
    <row r="19" spans="1:6" x14ac:dyDescent="0.3">
      <c r="A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3"/>
  <sheetViews>
    <sheetView zoomScale="79" zoomScaleNormal="79" workbookViewId="0">
      <selection activeCell="B13" sqref="B13"/>
    </sheetView>
  </sheetViews>
  <sheetFormatPr defaultRowHeight="14.4" x14ac:dyDescent="0.3"/>
  <cols>
    <col min="1" max="1" width="33.33203125" customWidth="1"/>
    <col min="2" max="2" width="17.21875" bestFit="1" customWidth="1"/>
    <col min="3" max="3" width="14.21875" bestFit="1" customWidth="1"/>
    <col min="4" max="4" width="13.21875" bestFit="1" customWidth="1"/>
    <col min="5" max="6" width="13.109375" bestFit="1" customWidth="1"/>
  </cols>
  <sheetData>
    <row r="1" spans="1:6" ht="22.8" x14ac:dyDescent="0.4">
      <c r="A1" s="38" t="s">
        <v>28</v>
      </c>
      <c r="B1" s="8"/>
    </row>
    <row r="2" spans="1:6" ht="15" thickBot="1" x14ac:dyDescent="0.35"/>
    <row r="3" spans="1:6" ht="16.2" thickBot="1" x14ac:dyDescent="0.35">
      <c r="A3" s="206" t="s">
        <v>29</v>
      </c>
      <c r="B3" s="178" t="s">
        <v>18</v>
      </c>
      <c r="C3" s="178" t="s">
        <v>39</v>
      </c>
      <c r="D3" s="178" t="s">
        <v>40</v>
      </c>
      <c r="E3" s="207" t="s">
        <v>41</v>
      </c>
      <c r="F3" s="208" t="s">
        <v>42</v>
      </c>
    </row>
    <row r="4" spans="1:6" x14ac:dyDescent="0.3">
      <c r="A4" s="209"/>
      <c r="B4" s="15"/>
      <c r="C4" s="15"/>
      <c r="D4" s="15"/>
      <c r="E4" s="15"/>
      <c r="F4" s="111"/>
    </row>
    <row r="5" spans="1:6" x14ac:dyDescent="0.3">
      <c r="A5" s="210" t="s">
        <v>30</v>
      </c>
      <c r="B5" s="183">
        <f>'Historical Financials'!F5*(1+'Control Panel'!B14)</f>
        <v>71338.080000000002</v>
      </c>
      <c r="C5" s="183">
        <f>Forecasts!B5*(1+Assumptions!E5)</f>
        <v>84178.934399999998</v>
      </c>
      <c r="D5" s="183">
        <f>Forecasts!C5*(1+Assumptions!E5)</f>
        <v>99331.142591999989</v>
      </c>
      <c r="E5" s="183">
        <f>Forecasts!D5*(1+Assumptions!E5)</f>
        <v>117210.74825855998</v>
      </c>
      <c r="F5" s="184">
        <f>Forecasts!E5*(1+Assumptions!E5)</f>
        <v>138308.68294510077</v>
      </c>
    </row>
    <row r="6" spans="1:6" x14ac:dyDescent="0.3">
      <c r="A6" s="211"/>
      <c r="B6" s="9"/>
      <c r="C6" s="9"/>
      <c r="D6" s="9"/>
      <c r="E6" s="9"/>
      <c r="F6" s="212"/>
    </row>
    <row r="7" spans="1:6" x14ac:dyDescent="0.3">
      <c r="A7" s="210" t="s">
        <v>31</v>
      </c>
      <c r="B7" s="213">
        <f>'Control Panel'!B14</f>
        <v>0.18</v>
      </c>
      <c r="C7" s="213">
        <f>'Control Panel'!B14</f>
        <v>0.18</v>
      </c>
      <c r="D7" s="213">
        <f>'Control Panel'!B14</f>
        <v>0.18</v>
      </c>
      <c r="E7" s="213">
        <f>'Control Panel'!B14</f>
        <v>0.18</v>
      </c>
      <c r="F7" s="214">
        <f>'Control Panel'!B14</f>
        <v>0.18</v>
      </c>
    </row>
    <row r="8" spans="1:6" x14ac:dyDescent="0.3">
      <c r="A8" s="211"/>
      <c r="B8" s="9"/>
      <c r="C8" s="215"/>
      <c r="D8" s="215"/>
      <c r="E8" s="215"/>
      <c r="F8" s="216"/>
    </row>
    <row r="9" spans="1:6" x14ac:dyDescent="0.3">
      <c r="A9" s="210" t="s">
        <v>43</v>
      </c>
      <c r="B9" s="213">
        <f>Assumptions!E7</f>
        <v>0.13</v>
      </c>
      <c r="C9" s="213">
        <f>Assumptions!E7</f>
        <v>0.13</v>
      </c>
      <c r="D9" s="213">
        <f>Assumptions!E7</f>
        <v>0.13</v>
      </c>
      <c r="E9" s="213">
        <f>Assumptions!E7</f>
        <v>0.13</v>
      </c>
      <c r="F9" s="214">
        <f>Assumptions!E7</f>
        <v>0.13</v>
      </c>
    </row>
    <row r="10" spans="1:6" x14ac:dyDescent="0.3">
      <c r="A10" s="211"/>
      <c r="B10" s="217"/>
      <c r="C10" s="217"/>
      <c r="D10" s="217"/>
      <c r="E10" s="217"/>
      <c r="F10" s="216"/>
    </row>
    <row r="11" spans="1:6" x14ac:dyDescent="0.3">
      <c r="A11" s="210" t="s">
        <v>32</v>
      </c>
      <c r="B11" s="183">
        <f>B5*'Control Panel'!B16</f>
        <v>9273.9503999999997</v>
      </c>
      <c r="C11" s="183">
        <f>C5*'Control Panel'!B16</f>
        <v>10943.261472</v>
      </c>
      <c r="D11" s="183">
        <f>D5*'Control Panel'!B16</f>
        <v>12913.048536959999</v>
      </c>
      <c r="E11" s="183">
        <f>E5*'Control Panel'!B16</f>
        <v>15237.397273612798</v>
      </c>
      <c r="F11" s="184">
        <f>F5*'Control Panel'!B16</f>
        <v>17980.128782863099</v>
      </c>
    </row>
    <row r="12" spans="1:6" x14ac:dyDescent="0.3">
      <c r="A12" s="211"/>
      <c r="B12" s="9"/>
      <c r="C12" s="9"/>
      <c r="D12" s="9"/>
      <c r="E12" s="9"/>
      <c r="F12" s="212"/>
    </row>
    <row r="13" spans="1:6" x14ac:dyDescent="0.3">
      <c r="A13" s="210" t="s">
        <v>9</v>
      </c>
      <c r="B13" s="218">
        <f>Assumptions!E9</f>
        <v>2.5000000000000001E-2</v>
      </c>
      <c r="C13" s="218">
        <f>Assumptions!E9</f>
        <v>2.5000000000000001E-2</v>
      </c>
      <c r="D13" s="218">
        <f>Assumptions!E9</f>
        <v>2.5000000000000001E-2</v>
      </c>
      <c r="E13" s="218">
        <f>Assumptions!E9</f>
        <v>2.5000000000000001E-2</v>
      </c>
      <c r="F13" s="219">
        <f>Assumptions!E9</f>
        <v>2.5000000000000001E-2</v>
      </c>
    </row>
    <row r="14" spans="1:6" x14ac:dyDescent="0.3">
      <c r="A14" s="211"/>
      <c r="B14" s="9"/>
      <c r="C14" s="9"/>
      <c r="D14" s="9"/>
      <c r="E14" s="9"/>
      <c r="F14" s="212"/>
    </row>
    <row r="15" spans="1:6" x14ac:dyDescent="0.3">
      <c r="A15" s="210" t="s">
        <v>109</v>
      </c>
      <c r="B15" s="183">
        <f>B5*'Control Panel'!B18</f>
        <v>2140.1424000000002</v>
      </c>
      <c r="C15" s="183">
        <f>C5*'Control Panel'!B18</f>
        <v>2525.3680319999999</v>
      </c>
      <c r="D15" s="183">
        <f>D5*'Control Panel'!B18</f>
        <v>2979.9342777599995</v>
      </c>
      <c r="E15" s="183">
        <f>E5*'Control Panel'!B18</f>
        <v>3516.3224477567992</v>
      </c>
      <c r="F15" s="184">
        <f>F5*'Control Panel'!B18</f>
        <v>4149.260488353023</v>
      </c>
    </row>
    <row r="16" spans="1:6" x14ac:dyDescent="0.3">
      <c r="A16" s="211"/>
      <c r="B16" s="9"/>
      <c r="C16" s="9"/>
      <c r="D16" s="9"/>
      <c r="E16" s="9"/>
      <c r="F16" s="212"/>
    </row>
    <row r="17" spans="1:6" x14ac:dyDescent="0.3">
      <c r="A17" s="210" t="s">
        <v>22</v>
      </c>
      <c r="B17" s="183">
        <f>B11-B15</f>
        <v>7133.8079999999991</v>
      </c>
      <c r="C17" s="183">
        <f>C11-C15</f>
        <v>8417.8934399999998</v>
      </c>
      <c r="D17" s="183">
        <f>D11-D15</f>
        <v>9933.1142591999997</v>
      </c>
      <c r="E17" s="183">
        <f>E11-E15</f>
        <v>11721.074825855998</v>
      </c>
      <c r="F17" s="184">
        <f>F11-F15</f>
        <v>13830.868294510077</v>
      </c>
    </row>
    <row r="18" spans="1:6" x14ac:dyDescent="0.3">
      <c r="A18" s="211"/>
      <c r="B18" s="215"/>
      <c r="C18" s="215"/>
      <c r="D18" s="215"/>
      <c r="E18" s="215"/>
      <c r="F18" s="221"/>
    </row>
    <row r="19" spans="1:6" x14ac:dyDescent="0.3">
      <c r="A19" s="210" t="s">
        <v>8</v>
      </c>
      <c r="B19" s="218">
        <f>'Control Panel'!B24</f>
        <v>0.25</v>
      </c>
      <c r="C19" s="218">
        <f>'Control Panel'!B24</f>
        <v>0.25</v>
      </c>
      <c r="D19" s="218">
        <f>'Control Panel'!B24</f>
        <v>0.25</v>
      </c>
      <c r="E19" s="218">
        <f>'Control Panel'!B24</f>
        <v>0.25</v>
      </c>
      <c r="F19" s="219">
        <f>'Control Panel'!B24</f>
        <v>0.25</v>
      </c>
    </row>
    <row r="20" spans="1:6" x14ac:dyDescent="0.3">
      <c r="A20" s="211"/>
      <c r="B20" s="9"/>
      <c r="C20" s="9"/>
      <c r="D20" s="9"/>
      <c r="E20" s="9"/>
      <c r="F20" s="212"/>
    </row>
    <row r="21" spans="1:6" x14ac:dyDescent="0.3">
      <c r="A21" s="210" t="s">
        <v>44</v>
      </c>
      <c r="B21" s="183">
        <f>B17*(1-B19)</f>
        <v>5350.3559999999998</v>
      </c>
      <c r="C21" s="183">
        <f>C17*(1-C19)</f>
        <v>6313.4200799999999</v>
      </c>
      <c r="D21" s="183">
        <f>D17*(1-D19)</f>
        <v>7449.8356943999997</v>
      </c>
      <c r="E21" s="183">
        <f>E17*(1-E19)</f>
        <v>8790.8061193919984</v>
      </c>
      <c r="F21" s="184">
        <f>F17*(1-F19)</f>
        <v>10373.151220882559</v>
      </c>
    </row>
    <row r="22" spans="1:6" x14ac:dyDescent="0.3">
      <c r="A22" s="211"/>
      <c r="B22" s="9"/>
      <c r="C22" s="9"/>
      <c r="D22" s="9"/>
      <c r="E22" s="9"/>
      <c r="F22" s="212"/>
    </row>
    <row r="23" spans="1:6" x14ac:dyDescent="0.3">
      <c r="A23" s="210" t="s">
        <v>35</v>
      </c>
      <c r="B23" s="183">
        <f>B17-B21</f>
        <v>1783.4519999999993</v>
      </c>
      <c r="C23" s="183">
        <f>C17-C21</f>
        <v>2104.47336</v>
      </c>
      <c r="D23" s="183">
        <f>D17-D21</f>
        <v>2483.2785647999999</v>
      </c>
      <c r="E23" s="183">
        <f>E17-E21</f>
        <v>2930.2687064639995</v>
      </c>
      <c r="F23" s="184">
        <f>F17-F21</f>
        <v>3457.7170736275184</v>
      </c>
    </row>
    <row r="24" spans="1:6" x14ac:dyDescent="0.3">
      <c r="A24" s="211"/>
      <c r="B24" s="215"/>
      <c r="C24" s="215"/>
      <c r="D24" s="215"/>
      <c r="E24" s="215"/>
      <c r="F24" s="221"/>
    </row>
    <row r="25" spans="1:6" x14ac:dyDescent="0.3">
      <c r="A25" s="210" t="s">
        <v>10</v>
      </c>
      <c r="B25" s="218">
        <f>Assumptions!E11</f>
        <v>3.2000000000000001E-2</v>
      </c>
      <c r="C25" s="218">
        <f>Assumptions!E11</f>
        <v>3.2000000000000001E-2</v>
      </c>
      <c r="D25" s="218">
        <f>Assumptions!E11</f>
        <v>3.2000000000000001E-2</v>
      </c>
      <c r="E25" s="218">
        <f>Assumptions!E11</f>
        <v>3.2000000000000001E-2</v>
      </c>
      <c r="F25" s="219">
        <f>Assumptions!E11</f>
        <v>3.2000000000000001E-2</v>
      </c>
    </row>
    <row r="26" spans="1:6" x14ac:dyDescent="0.3">
      <c r="A26" s="211"/>
      <c r="B26" s="9"/>
      <c r="C26" s="9"/>
      <c r="D26" s="9"/>
      <c r="E26" s="9"/>
      <c r="F26" s="212"/>
    </row>
    <row r="27" spans="1:6" x14ac:dyDescent="0.3">
      <c r="A27" s="210" t="s">
        <v>25</v>
      </c>
      <c r="B27" s="183">
        <f>B5*'Control Panel'!B20</f>
        <v>2140.1424000000002</v>
      </c>
      <c r="C27" s="183">
        <f>C5*'Control Panel'!B20</f>
        <v>2525.3680319999999</v>
      </c>
      <c r="D27" s="183">
        <f>D5*'Control Panel'!B20</f>
        <v>2979.9342777599995</v>
      </c>
      <c r="E27" s="183">
        <f>E5*'Control Panel'!B20</f>
        <v>3516.3224477567992</v>
      </c>
      <c r="F27" s="184">
        <f>F5*'Control Panel'!B20</f>
        <v>4149.260488353023</v>
      </c>
    </row>
    <row r="28" spans="1:6" x14ac:dyDescent="0.3">
      <c r="A28" s="112"/>
      <c r="B28" s="9"/>
      <c r="C28" s="9"/>
      <c r="D28" s="9"/>
      <c r="E28" s="9"/>
      <c r="F28" s="212"/>
    </row>
    <row r="29" spans="1:6" x14ac:dyDescent="0.3">
      <c r="A29" s="210" t="s">
        <v>11</v>
      </c>
      <c r="B29" s="213">
        <f>Assumptions!E15</f>
        <v>0.15</v>
      </c>
      <c r="C29" s="213">
        <f>Assumptions!E15</f>
        <v>0.15</v>
      </c>
      <c r="D29" s="213">
        <f>Assumptions!E15</f>
        <v>0.15</v>
      </c>
      <c r="E29" s="213">
        <f>Assumptions!E15</f>
        <v>0.15</v>
      </c>
      <c r="F29" s="214">
        <f>Assumptions!E15</f>
        <v>0.15</v>
      </c>
    </row>
    <row r="30" spans="1:6" x14ac:dyDescent="0.3">
      <c r="A30" s="112"/>
      <c r="B30" s="9"/>
      <c r="C30" s="9"/>
      <c r="D30" s="9"/>
      <c r="E30" s="9"/>
      <c r="F30" s="212"/>
    </row>
    <row r="31" spans="1:6" x14ac:dyDescent="0.3">
      <c r="A31" s="210" t="s">
        <v>45</v>
      </c>
      <c r="B31" s="183">
        <f>B5*'Control Panel'!B22</f>
        <v>10700.712</v>
      </c>
      <c r="C31" s="183">
        <f>C5*'Control Panel'!B22</f>
        <v>12626.84016</v>
      </c>
      <c r="D31" s="183">
        <f>D5*'Control Panel'!B22</f>
        <v>14899.671388799998</v>
      </c>
      <c r="E31" s="183">
        <f>E5*'Control Panel'!B22</f>
        <v>17581.612238783997</v>
      </c>
      <c r="F31" s="184">
        <f>F5*'Control Panel'!B22</f>
        <v>20746.302441765114</v>
      </c>
    </row>
    <row r="32" spans="1:6" x14ac:dyDescent="0.3">
      <c r="A32" s="112"/>
      <c r="B32" s="9"/>
      <c r="C32" s="9"/>
      <c r="D32" s="9"/>
      <c r="E32" s="9"/>
      <c r="F32" s="212"/>
    </row>
    <row r="33" spans="1:6" ht="15" thickBot="1" x14ac:dyDescent="0.35">
      <c r="A33" s="222" t="s">
        <v>46</v>
      </c>
      <c r="B33" s="223">
        <f>B31-'Historical Financials'!F17</f>
        <v>1632.3119999999999</v>
      </c>
      <c r="C33" s="223">
        <f>C31-B31</f>
        <v>1926.1281600000002</v>
      </c>
      <c r="D33" s="223">
        <f>D31-C31</f>
        <v>2272.8312287999979</v>
      </c>
      <c r="E33" s="223">
        <f>E31-D31</f>
        <v>2681.9408499839992</v>
      </c>
      <c r="F33" s="224">
        <f>F31-E31</f>
        <v>3164.6902029811172</v>
      </c>
    </row>
  </sheetData>
  <pageMargins left="0.7" right="0.7" top="0.75" bottom="0.75" header="0.3" footer="0.3"/>
  <pageSetup scale="8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3"/>
  <sheetViews>
    <sheetView workbookViewId="0">
      <selection activeCell="I16" sqref="I16"/>
    </sheetView>
  </sheetViews>
  <sheetFormatPr defaultRowHeight="14.4" x14ac:dyDescent="0.3"/>
  <cols>
    <col min="1" max="1" width="23" customWidth="1"/>
    <col min="2" max="2" width="17" customWidth="1"/>
    <col min="3" max="3" width="14.109375" bestFit="1" customWidth="1"/>
    <col min="4" max="4" width="13.21875" bestFit="1" customWidth="1"/>
    <col min="5" max="5" width="18" bestFit="1" customWidth="1"/>
    <col min="6" max="6" width="13.109375" bestFit="1" customWidth="1"/>
  </cols>
  <sheetData>
    <row r="1" spans="1:16" ht="22.8" x14ac:dyDescent="0.4">
      <c r="A1" s="38" t="s">
        <v>34</v>
      </c>
    </row>
    <row r="2" spans="1:16" ht="21" thickBot="1" x14ac:dyDescent="0.4">
      <c r="A2" s="6"/>
      <c r="G2" s="24"/>
    </row>
    <row r="3" spans="1:16" ht="16.2" thickBot="1" x14ac:dyDescent="0.35">
      <c r="A3" s="177"/>
      <c r="B3" s="178" t="s">
        <v>18</v>
      </c>
      <c r="C3" s="178" t="s">
        <v>39</v>
      </c>
      <c r="D3" s="178" t="s">
        <v>40</v>
      </c>
      <c r="E3" s="178" t="s">
        <v>41</v>
      </c>
      <c r="F3" s="179" t="s">
        <v>42</v>
      </c>
    </row>
    <row r="4" spans="1:16" ht="15.6" x14ac:dyDescent="0.3">
      <c r="A4" s="112"/>
      <c r="B4" s="1"/>
      <c r="C4" s="180"/>
      <c r="D4" s="180"/>
      <c r="E4" s="180"/>
      <c r="F4" s="181"/>
      <c r="H4" s="1" t="s">
        <v>54</v>
      </c>
      <c r="I4" s="1" t="s">
        <v>55</v>
      </c>
      <c r="J4" s="1"/>
      <c r="K4" s="1"/>
      <c r="L4" s="1"/>
      <c r="M4" s="1"/>
      <c r="N4" s="15"/>
    </row>
    <row r="5" spans="1:16" ht="15.6" x14ac:dyDescent="0.3">
      <c r="A5" s="182" t="s">
        <v>20</v>
      </c>
      <c r="B5" s="183">
        <f>Forecasts!B5</f>
        <v>71338.080000000002</v>
      </c>
      <c r="C5" s="183">
        <f>Forecasts!C5</f>
        <v>84178.934399999998</v>
      </c>
      <c r="D5" s="183">
        <f>Forecasts!D5</f>
        <v>99331.142591999989</v>
      </c>
      <c r="E5" s="183">
        <f>Forecasts!E5</f>
        <v>117210.74825855998</v>
      </c>
      <c r="F5" s="184">
        <f>Forecasts!F5</f>
        <v>138308.68294510077</v>
      </c>
      <c r="H5" s="25"/>
      <c r="I5" s="25"/>
      <c r="J5" s="25"/>
      <c r="K5" s="25"/>
      <c r="L5" s="25"/>
      <c r="M5" s="25"/>
    </row>
    <row r="6" spans="1:16" x14ac:dyDescent="0.3">
      <c r="A6" s="185"/>
      <c r="B6" s="186"/>
      <c r="C6" s="186"/>
      <c r="D6" s="186"/>
      <c r="E6" s="186"/>
      <c r="F6" s="187"/>
    </row>
    <row r="7" spans="1:16" ht="15.6" x14ac:dyDescent="0.3">
      <c r="A7" s="182" t="s">
        <v>22</v>
      </c>
      <c r="B7" s="188">
        <f>Forecasts!B17</f>
        <v>7133.8079999999991</v>
      </c>
      <c r="C7" s="188">
        <f>Forecasts!C17</f>
        <v>8417.8934399999998</v>
      </c>
      <c r="D7" s="188">
        <f>Forecasts!D17</f>
        <v>9933.1142591999997</v>
      </c>
      <c r="E7" s="188">
        <f>Forecasts!E17</f>
        <v>11721.074825855998</v>
      </c>
      <c r="F7" s="189">
        <f>Forecasts!F17</f>
        <v>13830.868294510077</v>
      </c>
      <c r="H7" s="1" t="s">
        <v>56</v>
      </c>
      <c r="I7" s="1"/>
      <c r="J7" s="1"/>
      <c r="K7" s="1"/>
      <c r="L7" s="1"/>
      <c r="M7" s="1"/>
      <c r="N7" s="1"/>
      <c r="O7" s="1"/>
      <c r="P7" s="1"/>
    </row>
    <row r="8" spans="1:16" x14ac:dyDescent="0.3">
      <c r="A8" s="185"/>
      <c r="B8" s="190"/>
      <c r="C8" s="191"/>
      <c r="D8" s="191"/>
      <c r="E8" s="191"/>
      <c r="F8" s="192"/>
    </row>
    <row r="9" spans="1:16" x14ac:dyDescent="0.3">
      <c r="A9" s="182" t="s">
        <v>53</v>
      </c>
      <c r="B9" s="188">
        <f>B7*Forecasts!B19</f>
        <v>1783.4519999999998</v>
      </c>
      <c r="C9" s="188">
        <f>C7*Forecasts!C19</f>
        <v>2104.47336</v>
      </c>
      <c r="D9" s="188">
        <f>D7*Forecasts!D19</f>
        <v>2483.2785647999999</v>
      </c>
      <c r="E9" s="188">
        <f>E7*Forecasts!E19</f>
        <v>2930.2687064639995</v>
      </c>
      <c r="F9" s="189">
        <f>F7*Forecasts!F19</f>
        <v>3457.7170736275193</v>
      </c>
    </row>
    <row r="10" spans="1:16" ht="15.6" x14ac:dyDescent="0.3">
      <c r="A10" s="193"/>
      <c r="B10" s="194"/>
      <c r="C10" s="194"/>
      <c r="D10" s="194"/>
      <c r="E10" s="194"/>
      <c r="F10" s="195"/>
    </row>
    <row r="11" spans="1:16" x14ac:dyDescent="0.3">
      <c r="A11" s="196" t="s">
        <v>35</v>
      </c>
      <c r="B11" s="188">
        <f>B7-B9</f>
        <v>5350.3559999999998</v>
      </c>
      <c r="C11" s="188">
        <f>C7-C9</f>
        <v>6313.4200799999999</v>
      </c>
      <c r="D11" s="188">
        <f>D7-D9</f>
        <v>7449.8356943999997</v>
      </c>
      <c r="E11" s="188">
        <f>E7-E9</f>
        <v>8790.8061193919984</v>
      </c>
      <c r="F11" s="189">
        <f>F7-F9</f>
        <v>10373.151220882559</v>
      </c>
    </row>
    <row r="12" spans="1:16" x14ac:dyDescent="0.3">
      <c r="A12" s="197"/>
      <c r="B12" s="198"/>
      <c r="C12" s="199"/>
      <c r="D12" s="199"/>
      <c r="E12" s="199"/>
      <c r="F12" s="200"/>
    </row>
    <row r="13" spans="1:16" x14ac:dyDescent="0.3">
      <c r="A13" s="196" t="s">
        <v>36</v>
      </c>
      <c r="B13" s="188">
        <f>Forecasts!B15</f>
        <v>2140.1424000000002</v>
      </c>
      <c r="C13" s="188">
        <f>Forecasts!C15</f>
        <v>2525.3680319999999</v>
      </c>
      <c r="D13" s="188">
        <f>Forecasts!D15</f>
        <v>2979.9342777599995</v>
      </c>
      <c r="E13" s="188">
        <f>Forecasts!E15</f>
        <v>3516.3224477567992</v>
      </c>
      <c r="F13" s="189">
        <f>Forecasts!F15</f>
        <v>4149.260488353023</v>
      </c>
    </row>
    <row r="14" spans="1:16" x14ac:dyDescent="0.3">
      <c r="A14" s="197"/>
      <c r="B14" s="11"/>
      <c r="C14" s="198"/>
      <c r="D14" s="198"/>
      <c r="E14" s="198"/>
      <c r="F14" s="201"/>
    </row>
    <row r="15" spans="1:16" x14ac:dyDescent="0.3">
      <c r="A15" s="196" t="s">
        <v>37</v>
      </c>
      <c r="B15" s="188">
        <f>Forecasts!B27</f>
        <v>2140.1424000000002</v>
      </c>
      <c r="C15" s="188">
        <f>Forecasts!C27</f>
        <v>2525.3680319999999</v>
      </c>
      <c r="D15" s="188">
        <f>Forecasts!D27</f>
        <v>2979.9342777599995</v>
      </c>
      <c r="E15" s="188">
        <f>Forecasts!E27</f>
        <v>3516.3224477567992</v>
      </c>
      <c r="F15" s="189">
        <f>Forecasts!F27</f>
        <v>4149.260488353023</v>
      </c>
    </row>
    <row r="16" spans="1:16" x14ac:dyDescent="0.3">
      <c r="A16" s="197"/>
      <c r="B16" s="198"/>
      <c r="C16" s="198"/>
      <c r="D16" s="198"/>
      <c r="E16" s="198"/>
      <c r="F16" s="201"/>
    </row>
    <row r="17" spans="1:6" x14ac:dyDescent="0.3">
      <c r="A17" s="196" t="s">
        <v>38</v>
      </c>
      <c r="B17" s="188">
        <f>Forecasts!B33</f>
        <v>1632.3119999999999</v>
      </c>
      <c r="C17" s="188">
        <f>Forecasts!C33</f>
        <v>1926.1281600000002</v>
      </c>
      <c r="D17" s="188">
        <f>Forecasts!D33</f>
        <v>2272.8312287999979</v>
      </c>
      <c r="E17" s="188">
        <f>Forecasts!E33</f>
        <v>2681.9408499839992</v>
      </c>
      <c r="F17" s="189">
        <f>Forecasts!F33</f>
        <v>3164.6902029811172</v>
      </c>
    </row>
    <row r="18" spans="1:6" x14ac:dyDescent="0.3">
      <c r="A18" s="197"/>
      <c r="B18" s="198"/>
      <c r="C18" s="198"/>
      <c r="D18" s="198"/>
      <c r="E18" s="198"/>
      <c r="F18" s="201"/>
    </row>
    <row r="19" spans="1:6" ht="15.6" thickBot="1" x14ac:dyDescent="0.35">
      <c r="A19" s="202" t="s">
        <v>34</v>
      </c>
      <c r="B19" s="203">
        <f>B11+B13-B15-B17</f>
        <v>3718.0439999999999</v>
      </c>
      <c r="C19" s="204">
        <f>C11+C13-C15-C17</f>
        <v>4387.2919199999997</v>
      </c>
      <c r="D19" s="204">
        <f>D11+D13-D15-D17</f>
        <v>5177.0044656000027</v>
      </c>
      <c r="E19" s="204">
        <f>E11+E13-E15-E17</f>
        <v>6108.8652694079974</v>
      </c>
      <c r="F19" s="205">
        <f>F11+F13-F15-F17</f>
        <v>7208.4610179014417</v>
      </c>
    </row>
    <row r="20" spans="1:6" x14ac:dyDescent="0.3">
      <c r="A20" s="12"/>
      <c r="B20" s="13"/>
      <c r="C20" s="13"/>
      <c r="D20" s="13"/>
      <c r="E20" s="13"/>
      <c r="F20" s="13"/>
    </row>
    <row r="21" spans="1:6" x14ac:dyDescent="0.3">
      <c r="A21" s="12"/>
      <c r="B21" s="12"/>
      <c r="C21" s="12"/>
      <c r="D21" s="12"/>
      <c r="E21" s="12"/>
      <c r="F21" s="12"/>
    </row>
    <row r="22" spans="1:6" x14ac:dyDescent="0.3">
      <c r="A22" s="12"/>
      <c r="B22" s="12"/>
      <c r="C22" s="12"/>
      <c r="D22" s="12"/>
      <c r="E22" s="12"/>
      <c r="F22" s="12"/>
    </row>
    <row r="23" spans="1:6" x14ac:dyDescent="0.3">
      <c r="A23" s="12"/>
    </row>
  </sheetData>
  <pageMargins left="0.7" right="0.7" top="0.75" bottom="0.75" header="0.3" footer="0.3"/>
  <pageSetup scale="48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2"/>
  <sheetViews>
    <sheetView zoomScale="73" zoomScaleNormal="73" workbookViewId="0">
      <selection activeCell="A3" sqref="A3"/>
    </sheetView>
  </sheetViews>
  <sheetFormatPr defaultRowHeight="14.4" x14ac:dyDescent="0.3"/>
  <cols>
    <col min="1" max="1" width="39.6640625" customWidth="1"/>
    <col min="3" max="3" width="18" customWidth="1"/>
    <col min="6" max="6" width="20.88671875" bestFit="1" customWidth="1"/>
  </cols>
  <sheetData>
    <row r="1" spans="1:17" ht="22.8" x14ac:dyDescent="0.4">
      <c r="A1" s="272" t="s">
        <v>12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0"/>
    </row>
    <row r="2" spans="1:17" ht="20.399999999999999" x14ac:dyDescent="0.35">
      <c r="A2" s="282"/>
      <c r="Q2" s="111"/>
    </row>
    <row r="3" spans="1:17" ht="20.399999999999999" x14ac:dyDescent="0.35">
      <c r="A3" s="283" t="s">
        <v>62</v>
      </c>
      <c r="C3" s="284"/>
      <c r="Q3" s="111"/>
    </row>
    <row r="4" spans="1:17" x14ac:dyDescent="0.3">
      <c r="A4" s="112"/>
      <c r="Q4" s="111"/>
    </row>
    <row r="5" spans="1:17" ht="16.2" thickBot="1" x14ac:dyDescent="0.35">
      <c r="A5" s="285" t="s">
        <v>61</v>
      </c>
      <c r="B5" s="28"/>
      <c r="C5" s="35" t="s">
        <v>72</v>
      </c>
      <c r="E5" s="1"/>
      <c r="Q5" s="111"/>
    </row>
    <row r="6" spans="1:17" x14ac:dyDescent="0.3">
      <c r="A6" s="112"/>
      <c r="C6" s="4"/>
      <c r="Q6" s="111"/>
    </row>
    <row r="7" spans="1:17" x14ac:dyDescent="0.3">
      <c r="A7" s="210" t="s">
        <v>57</v>
      </c>
      <c r="C7" s="19">
        <v>6.3500000000000001E-2</v>
      </c>
      <c r="Q7" s="111"/>
    </row>
    <row r="8" spans="1:17" x14ac:dyDescent="0.3">
      <c r="A8" s="112"/>
      <c r="C8" s="4"/>
      <c r="Q8" s="111"/>
    </row>
    <row r="9" spans="1:17" x14ac:dyDescent="0.3">
      <c r="A9" s="210" t="s">
        <v>67</v>
      </c>
      <c r="C9" s="16">
        <v>0.83</v>
      </c>
      <c r="Q9" s="111"/>
    </row>
    <row r="10" spans="1:17" x14ac:dyDescent="0.3">
      <c r="A10" s="112"/>
      <c r="C10" s="4"/>
      <c r="Q10" s="111"/>
    </row>
    <row r="11" spans="1:17" x14ac:dyDescent="0.3">
      <c r="A11" s="286" t="s">
        <v>58</v>
      </c>
      <c r="B11" s="12"/>
      <c r="C11" s="19">
        <v>5.5E-2</v>
      </c>
      <c r="Q11" s="111"/>
    </row>
    <row r="12" spans="1:17" x14ac:dyDescent="0.3">
      <c r="A12" s="287"/>
      <c r="B12" s="12"/>
      <c r="C12" s="4"/>
      <c r="Q12" s="111"/>
    </row>
    <row r="13" spans="1:17" x14ac:dyDescent="0.3">
      <c r="A13" s="286" t="s">
        <v>59</v>
      </c>
      <c r="B13" s="12"/>
      <c r="C13" s="34">
        <v>46168</v>
      </c>
      <c r="Q13" s="111"/>
    </row>
    <row r="14" spans="1:17" x14ac:dyDescent="0.3">
      <c r="A14" s="287"/>
      <c r="B14" s="12"/>
      <c r="C14" s="4"/>
      <c r="Q14" s="111"/>
    </row>
    <row r="15" spans="1:17" x14ac:dyDescent="0.3">
      <c r="A15" s="210" t="s">
        <v>60</v>
      </c>
      <c r="C15" s="34">
        <v>9646</v>
      </c>
      <c r="Q15" s="111"/>
    </row>
    <row r="16" spans="1:17" x14ac:dyDescent="0.3">
      <c r="A16" s="211"/>
      <c r="C16" s="4"/>
      <c r="Q16" s="111"/>
    </row>
    <row r="17" spans="1:17" x14ac:dyDescent="0.3">
      <c r="A17" s="288" t="s">
        <v>8</v>
      </c>
      <c r="B17" s="29"/>
      <c r="C17" s="33">
        <v>0.25</v>
      </c>
      <c r="Q17" s="111"/>
    </row>
    <row r="18" spans="1:17" x14ac:dyDescent="0.3">
      <c r="A18" s="112"/>
      <c r="Q18" s="111"/>
    </row>
    <row r="19" spans="1:17" ht="21" thickBot="1" x14ac:dyDescent="0.4">
      <c r="A19" s="283" t="s">
        <v>63</v>
      </c>
      <c r="F19" s="175" t="s">
        <v>70</v>
      </c>
      <c r="G19" s="138"/>
      <c r="Q19" s="111"/>
    </row>
    <row r="20" spans="1:17" ht="15" thickBot="1" x14ac:dyDescent="0.35">
      <c r="A20" s="112"/>
      <c r="Q20" s="111"/>
    </row>
    <row r="21" spans="1:17" ht="18" x14ac:dyDescent="0.35">
      <c r="A21" s="289" t="s">
        <v>64</v>
      </c>
      <c r="B21" s="31"/>
      <c r="C21" s="46">
        <f>C13+C15</f>
        <v>55814</v>
      </c>
      <c r="F21" s="168" t="s">
        <v>71</v>
      </c>
      <c r="G21" s="169"/>
      <c r="H21" s="169"/>
      <c r="I21" s="170"/>
      <c r="Q21" s="111"/>
    </row>
    <row r="22" spans="1:17" x14ac:dyDescent="0.3">
      <c r="A22" s="112"/>
      <c r="C22" s="4"/>
      <c r="F22" s="171"/>
      <c r="G22" s="57"/>
      <c r="H22" s="57"/>
      <c r="I22" s="157"/>
      <c r="Q22" s="111"/>
    </row>
    <row r="23" spans="1:17" ht="15.6" x14ac:dyDescent="0.3">
      <c r="A23" s="210" t="s">
        <v>65</v>
      </c>
      <c r="C23" s="19">
        <f>C13/C21</f>
        <v>0.82717597735335224</v>
      </c>
      <c r="F23" s="172">
        <f>((C23*C27)+(C25*C31))</f>
        <v>9.9359519117067405E-2</v>
      </c>
      <c r="G23" s="57"/>
      <c r="H23" s="57"/>
      <c r="I23" s="157"/>
      <c r="Q23" s="111"/>
    </row>
    <row r="24" spans="1:17" ht="15" thickBot="1" x14ac:dyDescent="0.35">
      <c r="A24" s="112"/>
      <c r="C24" s="4"/>
      <c r="F24" s="173"/>
      <c r="G24" s="158"/>
      <c r="H24" s="158"/>
      <c r="I24" s="136"/>
      <c r="Q24" s="111"/>
    </row>
    <row r="25" spans="1:17" ht="15" thickBot="1" x14ac:dyDescent="0.35">
      <c r="A25" s="210" t="s">
        <v>66</v>
      </c>
      <c r="C25" s="19">
        <f>C15/C21</f>
        <v>0.17282402264664778</v>
      </c>
      <c r="Q25" s="111"/>
    </row>
    <row r="26" spans="1:17" ht="16.2" thickBot="1" x14ac:dyDescent="0.35">
      <c r="A26" s="112"/>
      <c r="C26" s="4"/>
      <c r="F26" s="174" t="s">
        <v>74</v>
      </c>
      <c r="G26" s="1"/>
      <c r="H26" s="1"/>
      <c r="I26" s="1"/>
      <c r="J26" s="1"/>
      <c r="K26" s="1"/>
      <c r="L26" s="1"/>
      <c r="M26" s="1"/>
      <c r="Q26" s="111"/>
    </row>
    <row r="27" spans="1:17" ht="15.6" x14ac:dyDescent="0.3">
      <c r="A27" s="290" t="s">
        <v>73</v>
      </c>
      <c r="C27" s="19">
        <f>C7+(C9*C11)</f>
        <v>0.10915</v>
      </c>
      <c r="F27" s="1"/>
      <c r="G27" s="1"/>
      <c r="H27" s="1"/>
      <c r="I27" s="1"/>
      <c r="J27" s="1"/>
      <c r="K27" s="1"/>
      <c r="L27" s="1"/>
      <c r="M27" s="1"/>
      <c r="Q27" s="111"/>
    </row>
    <row r="28" spans="1:17" ht="21.6" thickBot="1" x14ac:dyDescent="0.45">
      <c r="A28" s="112"/>
      <c r="C28" s="4"/>
      <c r="F28" s="176" t="s">
        <v>75</v>
      </c>
      <c r="G28" s="1"/>
      <c r="H28" s="1"/>
      <c r="I28" s="1"/>
      <c r="J28" s="1"/>
      <c r="K28" s="1"/>
      <c r="L28" s="1"/>
      <c r="M28" s="1"/>
      <c r="Q28" s="111"/>
    </row>
    <row r="29" spans="1:17" ht="15.6" x14ac:dyDescent="0.3">
      <c r="A29" s="210" t="s">
        <v>68</v>
      </c>
      <c r="C29" s="36">
        <v>7.0000000000000007E-2</v>
      </c>
      <c r="F29" s="131" t="s">
        <v>76</v>
      </c>
      <c r="G29" s="164"/>
      <c r="H29" s="164"/>
      <c r="I29" s="164"/>
      <c r="J29" s="164"/>
      <c r="K29" s="164"/>
      <c r="L29" s="164"/>
      <c r="M29" s="164"/>
      <c r="N29" s="156"/>
      <c r="O29" s="133"/>
      <c r="Q29" s="111"/>
    </row>
    <row r="30" spans="1:17" ht="16.2" thickBot="1" x14ac:dyDescent="0.35">
      <c r="A30" s="112"/>
      <c r="C30" s="4"/>
      <c r="F30" s="134" t="s">
        <v>77</v>
      </c>
      <c r="G30" s="165"/>
      <c r="H30" s="165"/>
      <c r="I30" s="165"/>
      <c r="J30" s="165"/>
      <c r="K30" s="165"/>
      <c r="L30" s="165"/>
      <c r="M30" s="165"/>
      <c r="N30" s="158"/>
      <c r="O30" s="136"/>
      <c r="Q30" s="111"/>
    </row>
    <row r="31" spans="1:17" x14ac:dyDescent="0.3">
      <c r="A31" s="288" t="s">
        <v>69</v>
      </c>
      <c r="B31" s="29"/>
      <c r="C31" s="37">
        <f>C29*(1-C17)</f>
        <v>5.2500000000000005E-2</v>
      </c>
      <c r="Q31" s="111"/>
    </row>
    <row r="32" spans="1:17" ht="15" thickBot="1" x14ac:dyDescent="0.35">
      <c r="A32" s="114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3"/>
  <sheetViews>
    <sheetView zoomScale="70" zoomScaleNormal="70" workbookViewId="0">
      <selection activeCell="B9" sqref="B9"/>
    </sheetView>
  </sheetViews>
  <sheetFormatPr defaultRowHeight="14.4" x14ac:dyDescent="0.3"/>
  <cols>
    <col min="1" max="1" width="27.21875" customWidth="1"/>
    <col min="2" max="2" width="15.6640625" bestFit="1" customWidth="1"/>
    <col min="3" max="4" width="14" bestFit="1" customWidth="1"/>
    <col min="5" max="6" width="12.88671875" bestFit="1" customWidth="1"/>
    <col min="7" max="7" width="12" customWidth="1"/>
    <col min="9" max="9" width="28" customWidth="1"/>
  </cols>
  <sheetData>
    <row r="1" spans="1:20" ht="23.4" thickBot="1" x14ac:dyDescent="0.45">
      <c r="A1" s="38" t="s">
        <v>78</v>
      </c>
      <c r="H1" s="277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10"/>
    </row>
    <row r="2" spans="1:20" ht="18.600000000000001" thickBot="1" x14ac:dyDescent="0.4">
      <c r="H2" s="112"/>
      <c r="I2" s="166" t="s">
        <v>70</v>
      </c>
      <c r="J2" s="167"/>
      <c r="T2" s="111"/>
    </row>
    <row r="3" spans="1:20" ht="16.2" thickBot="1" x14ac:dyDescent="0.35">
      <c r="A3" s="159" t="s">
        <v>62</v>
      </c>
      <c r="B3" s="138" t="s">
        <v>88</v>
      </c>
      <c r="H3" s="112"/>
      <c r="T3" s="111"/>
    </row>
    <row r="4" spans="1:20" x14ac:dyDescent="0.3">
      <c r="H4" s="278" t="s">
        <v>90</v>
      </c>
      <c r="I4" s="15" t="s">
        <v>89</v>
      </c>
      <c r="K4" t="s">
        <v>115</v>
      </c>
      <c r="T4" s="111"/>
    </row>
    <row r="5" spans="1:20" ht="15" thickBot="1" x14ac:dyDescent="0.35">
      <c r="A5" s="39" t="s">
        <v>79</v>
      </c>
      <c r="B5" s="40" t="s">
        <v>80</v>
      </c>
      <c r="H5" s="112"/>
      <c r="T5" s="111"/>
    </row>
    <row r="6" spans="1:20" x14ac:dyDescent="0.3">
      <c r="A6" s="41"/>
      <c r="B6" s="22"/>
      <c r="H6" s="112"/>
      <c r="I6" s="279">
        <f>SUM(B21:F21)</f>
        <v>19267.830980784125</v>
      </c>
      <c r="J6" s="280" t="s">
        <v>110</v>
      </c>
      <c r="T6" s="111"/>
    </row>
    <row r="7" spans="1:20" x14ac:dyDescent="0.3">
      <c r="A7" s="30" t="s">
        <v>12</v>
      </c>
      <c r="B7" s="49">
        <f>'Control Panel'!B26</f>
        <v>0.105</v>
      </c>
      <c r="D7" s="58"/>
      <c r="H7" s="112"/>
      <c r="T7" s="111"/>
    </row>
    <row r="8" spans="1:20" x14ac:dyDescent="0.3">
      <c r="A8" s="41"/>
      <c r="B8" s="50"/>
      <c r="D8" s="59"/>
      <c r="H8" s="278" t="s">
        <v>91</v>
      </c>
      <c r="I8" s="15" t="s">
        <v>92</v>
      </c>
      <c r="K8" t="s">
        <v>94</v>
      </c>
      <c r="T8" s="111"/>
    </row>
    <row r="9" spans="1:20" x14ac:dyDescent="0.3">
      <c r="A9" s="30" t="s">
        <v>81</v>
      </c>
      <c r="B9" s="51">
        <f>'Control Panel'!B28</f>
        <v>0.04</v>
      </c>
      <c r="C9" s="32"/>
      <c r="H9" s="112"/>
      <c r="T9" s="111"/>
    </row>
    <row r="10" spans="1:20" x14ac:dyDescent="0.3">
      <c r="A10" s="41"/>
      <c r="B10" s="50"/>
      <c r="H10" s="112"/>
      <c r="I10" t="s">
        <v>93</v>
      </c>
      <c r="T10" s="111"/>
    </row>
    <row r="11" spans="1:20" x14ac:dyDescent="0.3">
      <c r="A11" s="30" t="s">
        <v>82</v>
      </c>
      <c r="B11" s="52">
        <v>0</v>
      </c>
      <c r="H11" s="112"/>
      <c r="T11" s="111"/>
    </row>
    <row r="12" spans="1:20" x14ac:dyDescent="0.3">
      <c r="A12" s="23"/>
      <c r="B12" s="50"/>
      <c r="H12" s="112"/>
      <c r="I12" s="279">
        <f>((1+B9)/(B7-B9))*F19</f>
        <v>115335.37628642307</v>
      </c>
      <c r="J12" s="280" t="s">
        <v>110</v>
      </c>
      <c r="T12" s="111"/>
    </row>
    <row r="13" spans="1:20" x14ac:dyDescent="0.3">
      <c r="A13" s="30" t="s">
        <v>83</v>
      </c>
      <c r="B13" s="26">
        <f>WACC!C15</f>
        <v>9646</v>
      </c>
      <c r="H13" s="112"/>
      <c r="T13" s="111"/>
    </row>
    <row r="14" spans="1:20" x14ac:dyDescent="0.3">
      <c r="A14" s="23"/>
      <c r="B14" s="50"/>
      <c r="H14" s="278" t="s">
        <v>95</v>
      </c>
      <c r="I14" s="15" t="s">
        <v>96</v>
      </c>
      <c r="T14" s="111"/>
    </row>
    <row r="15" spans="1:20" x14ac:dyDescent="0.3">
      <c r="A15" s="43" t="s">
        <v>84</v>
      </c>
      <c r="B15" s="53">
        <v>89</v>
      </c>
      <c r="H15" s="112"/>
      <c r="T15" s="111"/>
    </row>
    <row r="16" spans="1:20" x14ac:dyDescent="0.3">
      <c r="B16" s="12"/>
      <c r="H16" s="112"/>
      <c r="I16" t="s">
        <v>97</v>
      </c>
      <c r="T16" s="111"/>
    </row>
    <row r="17" spans="1:20" ht="16.2" thickBot="1" x14ac:dyDescent="0.35">
      <c r="A17" s="159" t="s">
        <v>85</v>
      </c>
      <c r="B17" s="138"/>
      <c r="H17" s="112"/>
      <c r="J17" s="279"/>
      <c r="T17" s="111"/>
    </row>
    <row r="18" spans="1:20" ht="15" thickBot="1" x14ac:dyDescent="0.35">
      <c r="A18" s="160"/>
      <c r="B18" s="161" t="s">
        <v>18</v>
      </c>
      <c r="C18" s="28" t="s">
        <v>39</v>
      </c>
      <c r="D18" s="28" t="s">
        <v>40</v>
      </c>
      <c r="E18" s="28" t="s">
        <v>41</v>
      </c>
      <c r="F18" s="42" t="s">
        <v>42</v>
      </c>
      <c r="H18" s="112"/>
      <c r="I18" s="279">
        <f>I12/(1+B7)^5</f>
        <v>70008.560319441502</v>
      </c>
      <c r="J18" s="280" t="s">
        <v>110</v>
      </c>
      <c r="T18" s="111"/>
    </row>
    <row r="19" spans="1:20" x14ac:dyDescent="0.3">
      <c r="A19" s="45" t="s">
        <v>34</v>
      </c>
      <c r="B19" s="27">
        <f>FCFF!B19</f>
        <v>3718.0439999999999</v>
      </c>
      <c r="C19" s="27">
        <f>FCFF!C19</f>
        <v>4387.2919199999997</v>
      </c>
      <c r="D19" s="27">
        <f>FCFF!D19</f>
        <v>5177.0044656000027</v>
      </c>
      <c r="E19" s="27">
        <f>FCFF!E19</f>
        <v>6108.8652694079974</v>
      </c>
      <c r="F19" s="27">
        <f>FCFF!F19</f>
        <v>7208.4610179014417</v>
      </c>
      <c r="H19" s="112"/>
      <c r="T19" s="111"/>
    </row>
    <row r="20" spans="1:20" x14ac:dyDescent="0.3">
      <c r="A20" s="44" t="s">
        <v>86</v>
      </c>
      <c r="B20" s="47">
        <f>1/(1+B7)^1</f>
        <v>0.90497737556561086</v>
      </c>
      <c r="C20" s="54">
        <f>1/(1+B7)^2</f>
        <v>0.81898405028562071</v>
      </c>
      <c r="D20" s="54">
        <f>1/(1+B7)^3</f>
        <v>0.74116203645757528</v>
      </c>
      <c r="E20" s="54">
        <f>1/(1+B7)^4</f>
        <v>0.67073487462224002</v>
      </c>
      <c r="F20" s="48">
        <f>1/(1+B7)^5</f>
        <v>0.60699988653596382</v>
      </c>
      <c r="H20" s="278" t="s">
        <v>98</v>
      </c>
      <c r="I20" s="15" t="s">
        <v>99</v>
      </c>
      <c r="K20" t="s">
        <v>116</v>
      </c>
      <c r="T20" s="111"/>
    </row>
    <row r="21" spans="1:20" x14ac:dyDescent="0.3">
      <c r="A21" s="10" t="s">
        <v>87</v>
      </c>
      <c r="B21" s="55">
        <f>B19*B20</f>
        <v>3364.7457013574658</v>
      </c>
      <c r="C21" s="55">
        <f>C19*C20</f>
        <v>3593.1221064269771</v>
      </c>
      <c r="D21" s="55">
        <f>D19*D20</f>
        <v>3836.9991724740594</v>
      </c>
      <c r="E21" s="55">
        <f>E19*E20</f>
        <v>4097.4289805605295</v>
      </c>
      <c r="F21" s="55">
        <f>F19*F20</f>
        <v>4375.5350199650929</v>
      </c>
      <c r="H21" s="112"/>
      <c r="K21" t="s">
        <v>117</v>
      </c>
      <c r="T21" s="111"/>
    </row>
    <row r="22" spans="1:20" ht="28.8" x14ac:dyDescent="0.3">
      <c r="H22" s="112"/>
      <c r="I22" s="281" t="s">
        <v>100</v>
      </c>
      <c r="K22" t="s">
        <v>101</v>
      </c>
      <c r="T22" s="111"/>
    </row>
    <row r="23" spans="1:20" x14ac:dyDescent="0.3">
      <c r="H23" s="112"/>
      <c r="I23" s="281"/>
      <c r="T23" s="111"/>
    </row>
    <row r="24" spans="1:20" ht="31.8" thickBot="1" x14ac:dyDescent="0.35">
      <c r="A24" s="162" t="s">
        <v>112</v>
      </c>
      <c r="B24" s="139"/>
      <c r="H24" s="112"/>
      <c r="I24" s="279">
        <f>I6+I18</f>
        <v>89276.39130022563</v>
      </c>
      <c r="J24" s="279" t="s">
        <v>110</v>
      </c>
      <c r="T24" s="111"/>
    </row>
    <row r="25" spans="1:20" ht="15" thickBot="1" x14ac:dyDescent="0.35">
      <c r="H25" s="112"/>
      <c r="T25" s="111"/>
    </row>
    <row r="26" spans="1:20" ht="15.6" x14ac:dyDescent="0.3">
      <c r="A26" s="145" t="s">
        <v>153</v>
      </c>
      <c r="B26" s="140"/>
      <c r="C26" s="140"/>
      <c r="D26" s="140"/>
      <c r="E26" s="140"/>
      <c r="F26" s="140"/>
      <c r="G26" s="140"/>
      <c r="H26" s="278" t="s">
        <v>102</v>
      </c>
      <c r="I26" s="15" t="s">
        <v>103</v>
      </c>
      <c r="J26" t="s">
        <v>104</v>
      </c>
      <c r="T26" s="111"/>
    </row>
    <row r="27" spans="1:20" ht="15.6" x14ac:dyDescent="0.3">
      <c r="A27" s="163" t="s">
        <v>154</v>
      </c>
      <c r="B27" s="141"/>
      <c r="C27" s="141"/>
      <c r="D27" s="141"/>
      <c r="E27" s="141"/>
      <c r="F27" s="141"/>
      <c r="G27" s="141"/>
      <c r="H27" s="112"/>
      <c r="T27" s="111"/>
    </row>
    <row r="28" spans="1:20" ht="15.6" x14ac:dyDescent="0.3">
      <c r="A28" s="163" t="s">
        <v>113</v>
      </c>
      <c r="B28" s="141"/>
      <c r="C28" s="141"/>
      <c r="D28" s="141"/>
      <c r="E28" s="141"/>
      <c r="F28" s="141"/>
      <c r="G28" s="141"/>
      <c r="H28" s="112"/>
      <c r="I28" s="279">
        <f>I24+B11-B13</f>
        <v>79630.39130022563</v>
      </c>
      <c r="J28" s="280" t="s">
        <v>110</v>
      </c>
      <c r="T28" s="111"/>
    </row>
    <row r="29" spans="1:20" ht="16.2" thickBot="1" x14ac:dyDescent="0.35">
      <c r="A29" s="146" t="s">
        <v>114</v>
      </c>
      <c r="B29" s="144"/>
      <c r="C29" s="144"/>
      <c r="D29" s="144"/>
      <c r="E29" s="144"/>
      <c r="F29" s="144"/>
      <c r="G29" s="144"/>
      <c r="H29" s="112"/>
      <c r="T29" s="111"/>
    </row>
    <row r="30" spans="1:20" x14ac:dyDescent="0.3">
      <c r="H30" s="278" t="s">
        <v>105</v>
      </c>
      <c r="I30" t="s">
        <v>107</v>
      </c>
      <c r="K30" t="s">
        <v>108</v>
      </c>
      <c r="T30" s="111"/>
    </row>
    <row r="31" spans="1:20" ht="15" thickBot="1" x14ac:dyDescent="0.35">
      <c r="H31" s="112"/>
      <c r="I31" s="279">
        <f>I28/89</f>
        <v>894.72349775534417</v>
      </c>
      <c r="J31" s="280" t="s">
        <v>111</v>
      </c>
      <c r="T31" s="111"/>
    </row>
    <row r="32" spans="1:20" ht="15.6" x14ac:dyDescent="0.3">
      <c r="A32" s="131" t="s">
        <v>155</v>
      </c>
      <c r="B32" s="164"/>
      <c r="C32" s="164"/>
      <c r="D32" s="164"/>
      <c r="E32" s="164"/>
      <c r="F32" s="164"/>
      <c r="G32" s="156"/>
      <c r="H32" s="112"/>
      <c r="K32" t="s">
        <v>106</v>
      </c>
      <c r="T32" s="111"/>
    </row>
    <row r="33" spans="1:20" ht="16.2" thickBot="1" x14ac:dyDescent="0.35">
      <c r="A33" s="134" t="s">
        <v>156</v>
      </c>
      <c r="B33" s="165"/>
      <c r="C33" s="165"/>
      <c r="D33" s="165"/>
      <c r="E33" s="165"/>
      <c r="F33" s="165"/>
      <c r="G33" s="158"/>
      <c r="H33" s="114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7"/>
  <sheetViews>
    <sheetView zoomScale="83" zoomScaleNormal="83" workbookViewId="0">
      <selection activeCell="A7" sqref="A7"/>
    </sheetView>
  </sheetViews>
  <sheetFormatPr defaultRowHeight="14.4" x14ac:dyDescent="0.3"/>
  <cols>
    <col min="1" max="1" width="21.33203125" customWidth="1"/>
    <col min="2" max="2" width="14.109375" bestFit="1" customWidth="1"/>
    <col min="3" max="4" width="9.44140625" bestFit="1" customWidth="1"/>
    <col min="14" max="14" width="10.109375" customWidth="1"/>
  </cols>
  <sheetData>
    <row r="1" spans="1:15" ht="22.8" x14ac:dyDescent="0.4">
      <c r="A1" s="272" t="s">
        <v>128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10"/>
    </row>
    <row r="2" spans="1:15" ht="15" thickBot="1" x14ac:dyDescent="0.35">
      <c r="A2" s="112"/>
      <c r="O2" s="111"/>
    </row>
    <row r="3" spans="1:15" ht="18" x14ac:dyDescent="0.35">
      <c r="A3" s="147" t="s">
        <v>129</v>
      </c>
      <c r="B3" s="148"/>
      <c r="C3" s="148"/>
      <c r="D3" s="148"/>
      <c r="E3" s="148"/>
      <c r="F3" s="148"/>
      <c r="G3" s="148"/>
      <c r="H3" s="149"/>
      <c r="I3" s="149"/>
      <c r="J3" s="149"/>
      <c r="K3" s="149"/>
      <c r="L3" s="149"/>
      <c r="M3" s="156"/>
      <c r="N3" s="133"/>
      <c r="O3" s="111"/>
    </row>
    <row r="4" spans="1:15" ht="18" x14ac:dyDescent="0.35">
      <c r="A4" s="150"/>
      <c r="B4" s="151"/>
      <c r="C4" s="151"/>
      <c r="D4" s="151"/>
      <c r="E4" s="151"/>
      <c r="F4" s="151"/>
      <c r="G4" s="151"/>
      <c r="H4" s="152"/>
      <c r="I4" s="152"/>
      <c r="J4" s="152"/>
      <c r="K4" s="152"/>
      <c r="L4" s="152"/>
      <c r="M4" s="57"/>
      <c r="N4" s="157"/>
      <c r="O4" s="111"/>
    </row>
    <row r="5" spans="1:15" ht="18.600000000000001" thickBot="1" x14ac:dyDescent="0.4">
      <c r="A5" s="153" t="s">
        <v>130</v>
      </c>
      <c r="B5" s="154"/>
      <c r="C5" s="154"/>
      <c r="D5" s="154"/>
      <c r="E5" s="154"/>
      <c r="F5" s="154"/>
      <c r="G5" s="154"/>
      <c r="H5" s="155"/>
      <c r="I5" s="155"/>
      <c r="J5" s="155"/>
      <c r="K5" s="155"/>
      <c r="L5" s="155"/>
      <c r="M5" s="158"/>
      <c r="N5" s="136"/>
      <c r="O5" s="111"/>
    </row>
    <row r="6" spans="1:15" x14ac:dyDescent="0.3">
      <c r="A6" s="112"/>
      <c r="O6" s="111"/>
    </row>
    <row r="7" spans="1:15" ht="18" thickBot="1" x14ac:dyDescent="0.35">
      <c r="A7" s="273" t="s">
        <v>133</v>
      </c>
      <c r="B7" s="138"/>
      <c r="O7" s="111"/>
    </row>
    <row r="8" spans="1:15" ht="15" thickBot="1" x14ac:dyDescent="0.35">
      <c r="A8" s="274"/>
      <c r="O8" s="111"/>
    </row>
    <row r="9" spans="1:15" ht="15" thickBot="1" x14ac:dyDescent="0.35">
      <c r="A9" s="64" t="s">
        <v>61</v>
      </c>
      <c r="B9" s="65" t="s">
        <v>131</v>
      </c>
      <c r="O9" s="111"/>
    </row>
    <row r="10" spans="1:15" x14ac:dyDescent="0.3">
      <c r="A10" s="117" t="s">
        <v>12</v>
      </c>
      <c r="B10" s="118">
        <f>Valuation!B7</f>
        <v>0.105</v>
      </c>
      <c r="O10" s="111"/>
    </row>
    <row r="11" spans="1:15" x14ac:dyDescent="0.3">
      <c r="A11" s="119" t="s">
        <v>81</v>
      </c>
      <c r="B11" s="120">
        <f>Valuation!B9</f>
        <v>0.04</v>
      </c>
      <c r="O11" s="111"/>
    </row>
    <row r="12" spans="1:15" ht="15" thickBot="1" x14ac:dyDescent="0.35">
      <c r="A12" s="121" t="s">
        <v>132</v>
      </c>
      <c r="B12" s="122">
        <f>Valuation!I31</f>
        <v>894.72349775534417</v>
      </c>
      <c r="O12" s="111"/>
    </row>
    <row r="13" spans="1:15" x14ac:dyDescent="0.3">
      <c r="A13" s="112"/>
      <c r="I13" s="56"/>
      <c r="O13" s="111"/>
    </row>
    <row r="14" spans="1:15" ht="18" thickBot="1" x14ac:dyDescent="0.35">
      <c r="A14" s="275" t="s">
        <v>134</v>
      </c>
      <c r="B14" s="137"/>
      <c r="C14" s="137"/>
      <c r="D14" s="138"/>
      <c r="O14" s="111"/>
    </row>
    <row r="15" spans="1:15" ht="15" thickBot="1" x14ac:dyDescent="0.35">
      <c r="A15" s="112"/>
      <c r="O15" s="111"/>
    </row>
    <row r="16" spans="1:15" ht="15" thickBot="1" x14ac:dyDescent="0.35">
      <c r="A16" s="66" t="s">
        <v>135</v>
      </c>
      <c r="B16" s="329" t="s">
        <v>51</v>
      </c>
      <c r="C16" s="330"/>
      <c r="D16" s="331"/>
      <c r="O16" s="111"/>
    </row>
    <row r="17" spans="1:15" ht="15" thickBot="1" x14ac:dyDescent="0.35">
      <c r="A17" s="62">
        <f>B12</f>
        <v>894.72349775534417</v>
      </c>
      <c r="B17" s="60">
        <v>0.03</v>
      </c>
      <c r="C17" s="60">
        <v>0.04</v>
      </c>
      <c r="D17" s="61">
        <v>0.05</v>
      </c>
      <c r="O17" s="111"/>
    </row>
    <row r="18" spans="1:15" x14ac:dyDescent="0.3">
      <c r="A18" s="123">
        <v>8.9399999999999993E-2</v>
      </c>
      <c r="B18" s="124">
        <v>962.12</v>
      </c>
      <c r="C18" s="124">
        <v>1145.8699999999999</v>
      </c>
      <c r="D18" s="125">
        <v>1422.9</v>
      </c>
      <c r="O18" s="111"/>
    </row>
    <row r="19" spans="1:15" x14ac:dyDescent="0.3">
      <c r="A19" s="126">
        <v>9.9400000000000002E-2</v>
      </c>
      <c r="B19" s="63">
        <v>799.63</v>
      </c>
      <c r="C19" s="63">
        <v>925.73</v>
      </c>
      <c r="D19" s="127">
        <v>1102.8900000000001</v>
      </c>
      <c r="O19" s="111"/>
    </row>
    <row r="20" spans="1:15" ht="15" thickBot="1" x14ac:dyDescent="0.35">
      <c r="A20" s="128">
        <v>0.1094</v>
      </c>
      <c r="B20" s="129">
        <v>678.33</v>
      </c>
      <c r="C20" s="129">
        <v>769.31</v>
      </c>
      <c r="D20" s="130">
        <v>890.93</v>
      </c>
      <c r="O20" s="111"/>
    </row>
    <row r="21" spans="1:15" x14ac:dyDescent="0.3">
      <c r="A21" s="112"/>
      <c r="O21" s="111"/>
    </row>
    <row r="22" spans="1:15" x14ac:dyDescent="0.3">
      <c r="A22" s="112"/>
      <c r="O22" s="111"/>
    </row>
    <row r="23" spans="1:15" ht="29.4" thickBot="1" x14ac:dyDescent="0.6">
      <c r="A23" s="276" t="s">
        <v>136</v>
      </c>
      <c r="B23" s="139"/>
      <c r="O23" s="111"/>
    </row>
    <row r="24" spans="1:15" ht="15" thickBot="1" x14ac:dyDescent="0.35">
      <c r="A24" s="112"/>
      <c r="O24" s="111"/>
    </row>
    <row r="25" spans="1:15" ht="15.6" x14ac:dyDescent="0.3">
      <c r="A25" s="131" t="s">
        <v>137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3"/>
      <c r="O25" s="111"/>
    </row>
    <row r="26" spans="1:15" ht="16.2" thickBot="1" x14ac:dyDescent="0.35">
      <c r="A26" s="134" t="s">
        <v>138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6"/>
      <c r="O26" s="111"/>
    </row>
    <row r="27" spans="1:15" ht="15" thickBot="1" x14ac:dyDescent="0.35">
      <c r="A27" s="114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6"/>
    </row>
  </sheetData>
  <mergeCells count="1">
    <mergeCell ref="B16:D16"/>
  </mergeCells>
  <conditionalFormatting sqref="A17:D20">
    <cfRule type="colorScale" priority="2">
      <colorScale>
        <cfvo type="min"/>
        <cfvo type="max"/>
        <color rgb="FF63BE7B"/>
        <color rgb="FFFFEF9C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:D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45A6-7890-48F1-9BAA-821130024F5D}">
  <sheetPr>
    <pageSetUpPr autoPageBreaks="0" fitToPage="1"/>
  </sheetPr>
  <dimension ref="A1:V45"/>
  <sheetViews>
    <sheetView showGridLines="0" zoomScale="72" zoomScaleNormal="72" workbookViewId="0">
      <selection activeCell="W16" sqref="W16"/>
    </sheetView>
  </sheetViews>
  <sheetFormatPr defaultRowHeight="14.4" x14ac:dyDescent="0.3"/>
  <cols>
    <col min="1" max="1" width="8.88671875" customWidth="1"/>
    <col min="2" max="2" width="12.88671875" customWidth="1"/>
    <col min="3" max="3" width="10.77734375" bestFit="1" customWidth="1"/>
    <col min="4" max="4" width="8.109375" customWidth="1"/>
    <col min="5" max="6" width="14.6640625" customWidth="1"/>
    <col min="7" max="7" width="9.21875" customWidth="1"/>
    <col min="8" max="8" width="23.109375" customWidth="1"/>
    <col min="9" max="9" width="14.33203125" customWidth="1"/>
    <col min="19" max="19" width="8.88671875" customWidth="1"/>
    <col min="21" max="21" width="15.33203125" customWidth="1"/>
  </cols>
  <sheetData>
    <row r="1" spans="1:22" ht="23.4" customHeight="1" x14ac:dyDescent="0.3">
      <c r="A1" s="300" t="s">
        <v>139</v>
      </c>
      <c r="B1" s="301"/>
      <c r="C1" s="301"/>
      <c r="D1" s="301"/>
      <c r="E1" s="301"/>
      <c r="F1" s="301"/>
      <c r="G1" s="301"/>
      <c r="H1" s="301"/>
      <c r="I1" s="301"/>
      <c r="J1" s="301"/>
      <c r="K1" s="302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10"/>
    </row>
    <row r="2" spans="1:22" ht="14.4" customHeight="1" thickBot="1" x14ac:dyDescent="0.35">
      <c r="A2" s="303"/>
      <c r="B2" s="304"/>
      <c r="C2" s="304"/>
      <c r="D2" s="304"/>
      <c r="E2" s="304"/>
      <c r="F2" s="304"/>
      <c r="G2" s="304"/>
      <c r="H2" s="304"/>
      <c r="I2" s="304"/>
      <c r="J2" s="304"/>
      <c r="K2" s="305"/>
      <c r="V2" s="111"/>
    </row>
    <row r="3" spans="1:22" ht="15" customHeight="1" thickBot="1" x14ac:dyDescent="0.35">
      <c r="A3" s="112"/>
      <c r="M3" s="315" t="s">
        <v>112</v>
      </c>
      <c r="N3" s="316"/>
      <c r="O3" s="316"/>
      <c r="P3" s="316"/>
      <c r="Q3" s="316"/>
      <c r="R3" s="316"/>
      <c r="S3" s="316"/>
      <c r="T3" s="317"/>
      <c r="V3" s="111"/>
    </row>
    <row r="4" spans="1:22" ht="15" customHeight="1" thickBot="1" x14ac:dyDescent="0.35">
      <c r="A4" s="292" t="s">
        <v>140</v>
      </c>
      <c r="B4" s="293"/>
      <c r="D4" s="292" t="s">
        <v>141</v>
      </c>
      <c r="E4" s="293"/>
      <c r="G4" s="292" t="s">
        <v>142</v>
      </c>
      <c r="H4" s="293"/>
      <c r="J4" s="292" t="s">
        <v>143</v>
      </c>
      <c r="K4" s="293"/>
      <c r="M4" s="318"/>
      <c r="N4" s="319"/>
      <c r="O4" s="319"/>
      <c r="P4" s="319"/>
      <c r="Q4" s="319"/>
      <c r="R4" s="319"/>
      <c r="S4" s="319"/>
      <c r="T4" s="320"/>
      <c r="V4" s="111"/>
    </row>
    <row r="5" spans="1:22" ht="15.6" customHeight="1" thickBot="1" x14ac:dyDescent="0.35">
      <c r="A5" s="294"/>
      <c r="B5" s="295"/>
      <c r="D5" s="294"/>
      <c r="E5" s="295"/>
      <c r="G5" s="294"/>
      <c r="H5" s="295"/>
      <c r="J5" s="294"/>
      <c r="K5" s="295"/>
      <c r="V5" s="111"/>
    </row>
    <row r="6" spans="1:22" ht="18.600000000000001" thickBot="1" x14ac:dyDescent="0.4">
      <c r="A6" s="296"/>
      <c r="B6" s="297"/>
      <c r="D6" s="296"/>
      <c r="E6" s="297"/>
      <c r="G6" s="296"/>
      <c r="H6" s="297"/>
      <c r="J6" s="296"/>
      <c r="K6" s="297"/>
      <c r="M6" s="105" t="s">
        <v>158</v>
      </c>
      <c r="N6" s="98"/>
      <c r="O6" s="98"/>
      <c r="P6" s="98"/>
      <c r="Q6" s="86"/>
      <c r="R6" s="86"/>
      <c r="S6" s="106"/>
      <c r="T6" s="88"/>
      <c r="V6" s="111"/>
    </row>
    <row r="7" spans="1:22" ht="18.600000000000001" thickBot="1" x14ac:dyDescent="0.4">
      <c r="A7" s="309">
        <v>3850</v>
      </c>
      <c r="B7" s="310"/>
      <c r="D7" s="309">
        <f>Valuation!I31</f>
        <v>894.72349775534417</v>
      </c>
      <c r="E7" s="310"/>
      <c r="G7" s="311">
        <f>(D7-A7)/A7</f>
        <v>-0.76760428629731314</v>
      </c>
      <c r="H7" s="312"/>
      <c r="J7" s="298" t="str">
        <f>IF(G7&gt;15%,"BUY",IF(G7&lt;-15%,"SELL","HOLD"))</f>
        <v>SELL</v>
      </c>
      <c r="K7" s="299"/>
      <c r="M7" s="107" t="s">
        <v>157</v>
      </c>
      <c r="N7" s="99"/>
      <c r="O7" s="99"/>
      <c r="P7" s="99"/>
      <c r="Q7" s="94"/>
      <c r="R7" s="94"/>
      <c r="S7" s="95"/>
      <c r="T7" s="89"/>
      <c r="V7" s="111"/>
    </row>
    <row r="8" spans="1:22" ht="18" x14ac:dyDescent="0.35">
      <c r="A8" s="112"/>
      <c r="M8" s="107" t="s">
        <v>159</v>
      </c>
      <c r="N8" s="99"/>
      <c r="O8" s="99"/>
      <c r="P8" s="99"/>
      <c r="Q8" s="94"/>
      <c r="R8" s="94"/>
      <c r="S8" s="95"/>
      <c r="T8" s="89"/>
      <c r="V8" s="111"/>
    </row>
    <row r="9" spans="1:22" ht="18.600000000000001" thickBot="1" x14ac:dyDescent="0.4">
      <c r="A9" s="112"/>
      <c r="M9" s="108" t="s">
        <v>160</v>
      </c>
      <c r="N9" s="100"/>
      <c r="O9" s="100"/>
      <c r="P9" s="100"/>
      <c r="Q9" s="87"/>
      <c r="R9" s="87"/>
      <c r="S9" s="91"/>
      <c r="T9" s="90"/>
      <c r="V9" s="111"/>
    </row>
    <row r="10" spans="1:22" ht="15" thickBot="1" x14ac:dyDescent="0.35">
      <c r="A10" s="112"/>
      <c r="V10" s="111"/>
    </row>
    <row r="11" spans="1:22" ht="18.600000000000001" thickBot="1" x14ac:dyDescent="0.4">
      <c r="A11" s="306" t="s">
        <v>149</v>
      </c>
      <c r="B11" s="307"/>
      <c r="C11" s="308"/>
      <c r="E11" s="306" t="s">
        <v>150</v>
      </c>
      <c r="F11" s="308"/>
      <c r="H11" s="306" t="s">
        <v>151</v>
      </c>
      <c r="I11" s="307"/>
      <c r="J11" s="307"/>
      <c r="K11" s="308"/>
      <c r="V11" s="111"/>
    </row>
    <row r="12" spans="1:22" ht="15" thickBot="1" x14ac:dyDescent="0.35">
      <c r="A12" s="112"/>
      <c r="V12" s="111"/>
    </row>
    <row r="13" spans="1:22" ht="18.600000000000001" thickBot="1" x14ac:dyDescent="0.35">
      <c r="A13" s="80" t="s">
        <v>12</v>
      </c>
      <c r="B13" s="81"/>
      <c r="C13" s="74">
        <f>Valuation!B7</f>
        <v>0.105</v>
      </c>
      <c r="E13" s="68" t="s">
        <v>148</v>
      </c>
      <c r="F13" s="69" t="s">
        <v>34</v>
      </c>
      <c r="H13" s="321" t="s">
        <v>152</v>
      </c>
      <c r="I13" s="322"/>
      <c r="J13" s="325">
        <f>A7</f>
        <v>3850</v>
      </c>
      <c r="K13" s="326"/>
      <c r="M13" s="103" t="s">
        <v>161</v>
      </c>
      <c r="N13" s="96"/>
      <c r="O13" s="96"/>
      <c r="P13" s="96"/>
      <c r="Q13" s="96"/>
      <c r="R13" s="96"/>
      <c r="S13" s="96"/>
      <c r="T13" s="96"/>
      <c r="U13" s="88"/>
      <c r="V13" s="113"/>
    </row>
    <row r="14" spans="1:22" ht="18.600000000000001" thickBot="1" x14ac:dyDescent="0.35">
      <c r="A14" s="82" t="s">
        <v>144</v>
      </c>
      <c r="B14" s="83"/>
      <c r="C14" s="75">
        <f>Valuation!B9</f>
        <v>0.04</v>
      </c>
      <c r="E14" s="70" t="s">
        <v>18</v>
      </c>
      <c r="F14" s="78">
        <f>Valuation!B19</f>
        <v>3718.0439999999999</v>
      </c>
      <c r="H14" s="323" t="s">
        <v>141</v>
      </c>
      <c r="I14" s="324"/>
      <c r="J14" s="327">
        <f>D7</f>
        <v>894.72349775534417</v>
      </c>
      <c r="K14" s="328"/>
      <c r="M14" s="104" t="s">
        <v>163</v>
      </c>
      <c r="N14" s="97"/>
      <c r="O14" s="97"/>
      <c r="P14" s="97"/>
      <c r="Q14" s="97"/>
      <c r="R14" s="97"/>
      <c r="S14" s="97"/>
      <c r="T14" s="97"/>
      <c r="U14" s="89"/>
      <c r="V14" s="113"/>
    </row>
    <row r="15" spans="1:22" ht="18" x14ac:dyDescent="0.3">
      <c r="A15" s="82" t="s">
        <v>145</v>
      </c>
      <c r="B15" s="83"/>
      <c r="C15" s="76">
        <f>Valuation!I24</f>
        <v>89276.39130022563</v>
      </c>
      <c r="E15" s="71" t="s">
        <v>39</v>
      </c>
      <c r="F15" s="76">
        <f>Valuation!C19</f>
        <v>4387.2919199999997</v>
      </c>
      <c r="M15" s="104" t="s">
        <v>164</v>
      </c>
      <c r="N15" s="97"/>
      <c r="O15" s="97"/>
      <c r="P15" s="97"/>
      <c r="Q15" s="97"/>
      <c r="R15" s="97"/>
      <c r="S15" s="97"/>
      <c r="T15" s="97"/>
      <c r="U15" s="89"/>
      <c r="V15" s="113"/>
    </row>
    <row r="16" spans="1:22" ht="18" x14ac:dyDescent="0.3">
      <c r="A16" s="82" t="s">
        <v>146</v>
      </c>
      <c r="B16" s="83"/>
      <c r="C16" s="76">
        <f>Valuation!I28</f>
        <v>79630.39130022563</v>
      </c>
      <c r="E16" s="71" t="s">
        <v>40</v>
      </c>
      <c r="F16" s="76">
        <f>Valuation!D19</f>
        <v>5177.0044656000027</v>
      </c>
      <c r="M16" s="104" t="s">
        <v>162</v>
      </c>
      <c r="N16" s="97"/>
      <c r="O16" s="97"/>
      <c r="P16" s="97"/>
      <c r="Q16" s="97"/>
      <c r="R16" s="97"/>
      <c r="S16" s="97"/>
      <c r="T16" s="97"/>
      <c r="U16" s="89"/>
      <c r="V16" s="113"/>
    </row>
    <row r="17" spans="1:22" ht="15" thickBot="1" x14ac:dyDescent="0.35">
      <c r="A17" s="84" t="s">
        <v>147</v>
      </c>
      <c r="B17" s="85"/>
      <c r="C17" s="77">
        <f>Valuation!I31</f>
        <v>894.72349775534417</v>
      </c>
      <c r="E17" s="72" t="s">
        <v>41</v>
      </c>
      <c r="F17" s="76">
        <f>Valuation!E19</f>
        <v>6108.8652694079974</v>
      </c>
      <c r="M17" s="313"/>
      <c r="N17" s="314"/>
      <c r="O17" s="314"/>
      <c r="P17" s="314"/>
      <c r="Q17" s="314"/>
      <c r="R17" s="314"/>
      <c r="S17" s="314"/>
      <c r="T17" s="314"/>
      <c r="U17" s="90"/>
      <c r="V17" s="113"/>
    </row>
    <row r="18" spans="1:22" ht="15" thickBot="1" x14ac:dyDescent="0.35">
      <c r="A18" s="112"/>
      <c r="E18" s="73" t="s">
        <v>42</v>
      </c>
      <c r="F18" s="79">
        <f>Valuation!F19</f>
        <v>7208.4610179014417</v>
      </c>
      <c r="V18" s="111"/>
    </row>
    <row r="19" spans="1:22" x14ac:dyDescent="0.3">
      <c r="A19" s="112"/>
      <c r="V19" s="111"/>
    </row>
    <row r="20" spans="1:22" x14ac:dyDescent="0.3">
      <c r="A20" s="112"/>
      <c r="V20" s="111"/>
    </row>
    <row r="21" spans="1:22" x14ac:dyDescent="0.3">
      <c r="A21" s="112"/>
      <c r="V21" s="111"/>
    </row>
    <row r="22" spans="1:22" x14ac:dyDescent="0.3">
      <c r="A22" s="112"/>
      <c r="V22" s="111"/>
    </row>
    <row r="23" spans="1:22" x14ac:dyDescent="0.3">
      <c r="A23" s="112"/>
      <c r="V23" s="111"/>
    </row>
    <row r="24" spans="1:22" x14ac:dyDescent="0.3">
      <c r="A24" s="112"/>
      <c r="V24" s="111"/>
    </row>
    <row r="25" spans="1:22" x14ac:dyDescent="0.3">
      <c r="A25" s="112"/>
      <c r="V25" s="111"/>
    </row>
    <row r="26" spans="1:22" x14ac:dyDescent="0.3">
      <c r="A26" s="112"/>
      <c r="V26" s="111"/>
    </row>
    <row r="27" spans="1:22" x14ac:dyDescent="0.3">
      <c r="A27" s="112"/>
      <c r="V27" s="111"/>
    </row>
    <row r="28" spans="1:22" x14ac:dyDescent="0.3">
      <c r="A28" s="112"/>
      <c r="V28" s="111"/>
    </row>
    <row r="29" spans="1:22" x14ac:dyDescent="0.3">
      <c r="A29" s="112"/>
      <c r="V29" s="111"/>
    </row>
    <row r="30" spans="1:22" x14ac:dyDescent="0.3">
      <c r="A30" s="112"/>
      <c r="V30" s="111"/>
    </row>
    <row r="31" spans="1:22" x14ac:dyDescent="0.3">
      <c r="A31" s="112"/>
      <c r="V31" s="111"/>
    </row>
    <row r="32" spans="1:22" x14ac:dyDescent="0.3">
      <c r="A32" s="112"/>
      <c r="V32" s="111"/>
    </row>
    <row r="33" spans="1:22" x14ac:dyDescent="0.3">
      <c r="A33" s="112"/>
      <c r="V33" s="111"/>
    </row>
    <row r="34" spans="1:22" ht="15" thickBot="1" x14ac:dyDescent="0.35">
      <c r="A34" s="114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6"/>
    </row>
    <row r="39" spans="1:22" x14ac:dyDescent="0.3">
      <c r="C39" s="291"/>
      <c r="D39" s="291"/>
      <c r="E39" s="291"/>
      <c r="F39" s="291"/>
      <c r="G39" s="291"/>
      <c r="H39" s="291"/>
      <c r="I39" s="291"/>
    </row>
    <row r="40" spans="1:22" x14ac:dyDescent="0.3">
      <c r="C40" s="291"/>
      <c r="D40" s="291"/>
      <c r="E40" s="291"/>
      <c r="F40" s="291"/>
      <c r="G40" s="291"/>
      <c r="H40" s="291"/>
      <c r="I40" s="291"/>
    </row>
    <row r="42" spans="1:22" x14ac:dyDescent="0.3">
      <c r="C42" s="101"/>
      <c r="D42" s="101"/>
      <c r="E42" s="101"/>
      <c r="F42" s="101"/>
      <c r="G42" s="101"/>
      <c r="H42" s="101"/>
      <c r="I42" s="102"/>
    </row>
    <row r="43" spans="1:22" x14ac:dyDescent="0.3">
      <c r="C43" s="101"/>
      <c r="D43" s="101"/>
      <c r="E43" s="101"/>
      <c r="F43" s="101"/>
      <c r="G43" s="101"/>
      <c r="H43" s="101"/>
      <c r="I43" s="102"/>
    </row>
    <row r="44" spans="1:22" x14ac:dyDescent="0.3">
      <c r="C44" s="101"/>
      <c r="D44" s="101"/>
      <c r="E44" s="101"/>
      <c r="F44" s="101"/>
      <c r="G44" s="101"/>
      <c r="H44" s="101"/>
      <c r="I44" s="102"/>
    </row>
    <row r="45" spans="1:22" x14ac:dyDescent="0.3">
      <c r="C45" s="101"/>
      <c r="D45" s="101"/>
      <c r="E45" s="101"/>
      <c r="F45" s="101"/>
      <c r="G45" s="101"/>
      <c r="H45" s="101"/>
      <c r="I45" s="102"/>
    </row>
  </sheetData>
  <mergeCells count="19">
    <mergeCell ref="M17:T17"/>
    <mergeCell ref="M3:T4"/>
    <mergeCell ref="H13:I13"/>
    <mergeCell ref="H14:I14"/>
    <mergeCell ref="J13:K13"/>
    <mergeCell ref="J14:K14"/>
    <mergeCell ref="C39:I40"/>
    <mergeCell ref="J4:K6"/>
    <mergeCell ref="J7:K7"/>
    <mergeCell ref="A1:K2"/>
    <mergeCell ref="A11:C11"/>
    <mergeCell ref="E11:F11"/>
    <mergeCell ref="H11:K11"/>
    <mergeCell ref="A4:B6"/>
    <mergeCell ref="D4:E6"/>
    <mergeCell ref="G4:H6"/>
    <mergeCell ref="D7:E7"/>
    <mergeCell ref="A7:B7"/>
    <mergeCell ref="G7:H7"/>
  </mergeCells>
  <pageMargins left="0.70866141732283472" right="0.70866141732283472" top="0.74803149606299213" bottom="0.74803149606299213" header="0.31496062992125984" footer="0.31496062992125984"/>
  <pageSetup paperSize="6" scale="37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3510-813B-4448-B51F-24DAF46A2C5D}">
  <dimension ref="A1:I30"/>
  <sheetViews>
    <sheetView tabSelected="1" zoomScale="81" zoomScaleNormal="81" workbookViewId="0">
      <selection activeCell="K21" sqref="K21"/>
    </sheetView>
  </sheetViews>
  <sheetFormatPr defaultRowHeight="14.4" x14ac:dyDescent="0.3"/>
  <cols>
    <col min="1" max="1" width="23.6640625" customWidth="1"/>
    <col min="2" max="2" width="10" bestFit="1" customWidth="1"/>
  </cols>
  <sheetData>
    <row r="1" spans="1:9" ht="22.8" x14ac:dyDescent="0.4">
      <c r="A1" s="38" t="s">
        <v>165</v>
      </c>
    </row>
    <row r="3" spans="1:9" ht="18" thickBot="1" x14ac:dyDescent="0.35">
      <c r="A3" s="332" t="s">
        <v>166</v>
      </c>
      <c r="B3" s="138"/>
    </row>
    <row r="5" spans="1:9" ht="15.6" x14ac:dyDescent="0.3">
      <c r="A5" s="338" t="s">
        <v>167</v>
      </c>
      <c r="B5" s="333" t="s">
        <v>171</v>
      </c>
      <c r="C5" s="333"/>
    </row>
    <row r="6" spans="1:9" ht="15.6" x14ac:dyDescent="0.3">
      <c r="A6" s="338" t="s">
        <v>168</v>
      </c>
      <c r="B6" s="334">
        <v>4461.1000000000004</v>
      </c>
      <c r="C6" s="335"/>
    </row>
    <row r="7" spans="1:9" ht="15.6" x14ac:dyDescent="0.3">
      <c r="A7" s="338" t="s">
        <v>169</v>
      </c>
      <c r="B7" s="336">
        <f>Valuation!B15</f>
        <v>89</v>
      </c>
      <c r="C7" s="337"/>
    </row>
    <row r="8" spans="1:9" ht="15.6" x14ac:dyDescent="0.3">
      <c r="A8" s="338" t="s">
        <v>170</v>
      </c>
      <c r="B8" s="334">
        <f>Valuation!B13</f>
        <v>9646</v>
      </c>
      <c r="C8" s="335"/>
    </row>
    <row r="10" spans="1:9" ht="18" thickBot="1" x14ac:dyDescent="0.35">
      <c r="A10" s="332" t="s">
        <v>172</v>
      </c>
      <c r="B10" s="138"/>
    </row>
    <row r="11" spans="1:9" ht="15" thickBot="1" x14ac:dyDescent="0.35">
      <c r="H11" s="343"/>
      <c r="I11" s="343"/>
    </row>
    <row r="12" spans="1:9" ht="28.8" x14ac:dyDescent="0.3">
      <c r="A12" s="340" t="s">
        <v>173</v>
      </c>
      <c r="B12" s="109">
        <v>7</v>
      </c>
      <c r="C12" s="110"/>
      <c r="H12" s="348" t="s">
        <v>173</v>
      </c>
      <c r="I12" s="349" t="s">
        <v>178</v>
      </c>
    </row>
    <row r="13" spans="1:9" x14ac:dyDescent="0.3">
      <c r="A13" s="112"/>
      <c r="B13" s="339"/>
      <c r="C13" s="111"/>
      <c r="H13" s="344">
        <v>5</v>
      </c>
      <c r="I13" s="345" t="s">
        <v>179</v>
      </c>
    </row>
    <row r="14" spans="1:9" x14ac:dyDescent="0.3">
      <c r="A14" s="341" t="s">
        <v>174</v>
      </c>
      <c r="B14" s="350">
        <v>0.18</v>
      </c>
      <c r="C14" s="111"/>
      <c r="H14" s="344">
        <v>7</v>
      </c>
      <c r="I14" s="345" t="s">
        <v>180</v>
      </c>
    </row>
    <row r="15" spans="1:9" x14ac:dyDescent="0.3">
      <c r="A15" s="112"/>
      <c r="B15" s="339"/>
      <c r="C15" s="111"/>
      <c r="H15" s="344">
        <v>10</v>
      </c>
      <c r="I15" s="345" t="s">
        <v>181</v>
      </c>
    </row>
    <row r="16" spans="1:9" ht="15" thickBot="1" x14ac:dyDescent="0.35">
      <c r="A16" s="341" t="s">
        <v>175</v>
      </c>
      <c r="B16" s="350">
        <v>0.13</v>
      </c>
      <c r="C16" s="111"/>
      <c r="H16" s="346"/>
      <c r="I16" s="347"/>
    </row>
    <row r="17" spans="1:6" x14ac:dyDescent="0.3">
      <c r="A17" s="112"/>
      <c r="B17" s="339"/>
      <c r="C17" s="111"/>
    </row>
    <row r="18" spans="1:6" x14ac:dyDescent="0.3">
      <c r="A18" s="341" t="s">
        <v>9</v>
      </c>
      <c r="B18" s="350">
        <v>0.03</v>
      </c>
      <c r="C18" s="111"/>
    </row>
    <row r="19" spans="1:6" x14ac:dyDescent="0.3">
      <c r="A19" s="112"/>
      <c r="B19" s="339"/>
      <c r="C19" s="111"/>
    </row>
    <row r="20" spans="1:6" x14ac:dyDescent="0.3">
      <c r="A20" s="341" t="s">
        <v>10</v>
      </c>
      <c r="B20" s="350">
        <v>0.03</v>
      </c>
      <c r="C20" s="111"/>
    </row>
    <row r="21" spans="1:6" x14ac:dyDescent="0.3">
      <c r="A21" s="112"/>
      <c r="B21" s="339"/>
      <c r="C21" s="111"/>
    </row>
    <row r="22" spans="1:6" x14ac:dyDescent="0.3">
      <c r="A22" s="341" t="s">
        <v>11</v>
      </c>
      <c r="B22" s="350">
        <v>0.15</v>
      </c>
      <c r="C22" s="111"/>
    </row>
    <row r="23" spans="1:6" x14ac:dyDescent="0.3">
      <c r="A23" s="112"/>
      <c r="B23" s="339"/>
      <c r="C23" s="111"/>
    </row>
    <row r="24" spans="1:6" x14ac:dyDescent="0.3">
      <c r="A24" s="341" t="s">
        <v>8</v>
      </c>
      <c r="B24" s="350">
        <v>0.25</v>
      </c>
      <c r="C24" s="111"/>
    </row>
    <row r="25" spans="1:6" x14ac:dyDescent="0.3">
      <c r="A25" s="112"/>
      <c r="B25" s="339"/>
      <c r="C25" s="111"/>
    </row>
    <row r="26" spans="1:6" x14ac:dyDescent="0.3">
      <c r="A26" s="341" t="s">
        <v>12</v>
      </c>
      <c r="B26" s="350">
        <v>0.105</v>
      </c>
      <c r="C26" s="111"/>
      <c r="F26" s="15" t="s">
        <v>182</v>
      </c>
    </row>
    <row r="27" spans="1:6" x14ac:dyDescent="0.3">
      <c r="A27" s="112"/>
      <c r="B27" s="339"/>
      <c r="C27" s="111"/>
    </row>
    <row r="28" spans="1:6" x14ac:dyDescent="0.3">
      <c r="A28" s="341" t="s">
        <v>176</v>
      </c>
      <c r="B28" s="350">
        <v>0.04</v>
      </c>
      <c r="C28" s="111"/>
    </row>
    <row r="29" spans="1:6" x14ac:dyDescent="0.3">
      <c r="A29" s="112"/>
      <c r="B29" s="339"/>
      <c r="C29" s="111"/>
    </row>
    <row r="30" spans="1:6" ht="15" thickBot="1" x14ac:dyDescent="0.35">
      <c r="A30" s="342" t="s">
        <v>177</v>
      </c>
      <c r="B30" s="115" t="s">
        <v>179</v>
      </c>
      <c r="C30" s="116"/>
    </row>
  </sheetData>
  <mergeCells count="3">
    <mergeCell ref="B7:C7"/>
    <mergeCell ref="B6:C6"/>
    <mergeCell ref="B8:C8"/>
  </mergeCells>
  <dataValidations count="2">
    <dataValidation type="list" allowBlank="1" showInputMessage="1" showErrorMessage="1" sqref="B12" xr:uid="{4B4FE3D8-2AC6-49C1-AC77-069313EB8186}">
      <formula1>$H$13:$H$15</formula1>
    </dataValidation>
    <dataValidation type="list" allowBlank="1" showInputMessage="1" showErrorMessage="1" sqref="B30" xr:uid="{06576BDA-00E0-4C3F-B932-65CDDFF78CFB}">
      <formula1>"Bear,Base,Bull"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Historical Financials</vt:lpstr>
      <vt:lpstr>Forecasts</vt:lpstr>
      <vt:lpstr>FCFF</vt:lpstr>
      <vt:lpstr>WACC</vt:lpstr>
      <vt:lpstr>Valuation</vt:lpstr>
      <vt:lpstr> Sensitivity Analysis</vt:lpstr>
      <vt:lpstr>Dashboard </vt:lpstr>
      <vt:lpstr>Control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vrushank patel</cp:lastModifiedBy>
  <cp:lastPrinted>2026-06-27T05:45:30Z</cp:lastPrinted>
  <dcterms:created xsi:type="dcterms:W3CDTF">2026-06-20T04:56:59Z</dcterms:created>
  <dcterms:modified xsi:type="dcterms:W3CDTF">2026-07-04T14:23:18Z</dcterms:modified>
</cp:coreProperties>
</file>